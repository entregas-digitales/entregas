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kcja" sheetId="1" state="visible" r:id="rId1"/>
    <sheet xmlns:r="http://schemas.openxmlformats.org/officeDocument/2006/relationships" name="Kalkulator" sheetId="2" state="visible" r:id="rId2"/>
    <sheet xmlns:r="http://schemas.openxmlformats.org/officeDocument/2006/relationships" name="Mój przepis 2" sheetId="3" state="visible" r:id="rId3"/>
    <sheet xmlns:r="http://schemas.openxmlformats.org/officeDocument/2006/relationships" name="Mój przepis 3" sheetId="4" state="visible" r:id="rId4"/>
    <sheet xmlns:r="http://schemas.openxmlformats.org/officeDocument/2006/relationships" name="Porównanie" sheetId="5" state="visible" r:id="rId5"/>
  </sheets>
  <definedNames>
    <definedName name="_xlnm.Print_Area" localSheetId="1">'Kalkulator'!$A$1:$G$60</definedName>
    <definedName name="_xlnm.Print_Area" localSheetId="2">'Mój przepis 2'!$A$1:$G$60</definedName>
    <definedName name="_xlnm.Print_Area" localSheetId="3">'Mój przepis 3'!$A$1:$G$60</definedName>
  </definedNames>
  <calcPr calcId="124519" fullCalcOnLoad="1"/>
</workbook>
</file>

<file path=xl/styles.xml><?xml version="1.0" encoding="utf-8"?>
<styleSheet xmlns="http://schemas.openxmlformats.org/spreadsheetml/2006/main">
  <numFmts count="4">
    <numFmt numFmtId="164" formatCode="#,##0.##"/>
    <numFmt numFmtId="165" formatCode="#,##0.00 &quot;zł&quot;"/>
    <numFmt numFmtId="166" formatCode="0 &quot;szt.&quot;"/>
    <numFmt numFmtId="167" formatCode="0 &quot;partii&quot;"/>
  </numFmts>
  <fonts count="15">
    <font>
      <name val="Calibri"/>
      <family val="2"/>
      <color theme="1"/>
      <sz val="11"/>
      <scheme val="minor"/>
    </font>
    <font>
      <b val="1"/>
      <color rgb="00B5DF00"/>
      <sz val="20"/>
    </font>
    <font>
      <i val="1"/>
      <color rgb="00FFFFFF"/>
      <sz val="11"/>
    </font>
    <font>
      <sz val="11"/>
    </font>
    <font>
      <b val="1"/>
      <color rgb="000B0B0B"/>
      <sz val="13"/>
    </font>
    <font>
      <b val="1"/>
      <sz val="11"/>
    </font>
    <font>
      <i val="1"/>
      <color rgb="00FFFFFF"/>
    </font>
    <font>
      <b val="1"/>
    </font>
    <font/>
    <font>
      <b val="1"/>
      <sz val="13"/>
    </font>
    <font>
      <b val="1"/>
      <color rgb="00FFFFFF"/>
    </font>
    <font>
      <b val="1"/>
      <sz val="12"/>
    </font>
    <font>
      <i val="1"/>
      <color rgb="00777777"/>
    </font>
    <font>
      <b val="1"/>
      <color rgb="00C00000"/>
    </font>
    <font>
      <b val="1"/>
      <color rgb="00B5DF00"/>
      <sz val="18"/>
    </font>
  </fonts>
  <fills count="5">
    <fill>
      <patternFill/>
    </fill>
    <fill>
      <patternFill patternType="gray125"/>
    </fill>
    <fill>
      <patternFill patternType="solid">
        <fgColor rgb="000B0B0B"/>
      </patternFill>
    </fill>
    <fill>
      <patternFill patternType="solid">
        <fgColor rgb="00FFF6BF"/>
      </patternFill>
    </fill>
    <fill>
      <patternFill patternType="solid">
        <fgColor rgb="00B5DF00"/>
      </patternFill>
    </fill>
  </fills>
  <borders count="7">
    <border>
      <left/>
      <right/>
      <top/>
      <bottom/>
      <diagonal/>
    </border>
    <border>
      <bottom style="medium">
        <color rgb="00B5DF00"/>
      </bottom>
    </border>
    <border>
      <left style="thin">
        <color rgb="00E3E1DA"/>
      </left>
      <right style="thin">
        <color rgb="00E3E1DA"/>
      </right>
      <top style="thin">
        <color rgb="00E3E1DA"/>
      </top>
      <bottom style="thin">
        <color rgb="00E3E1DA"/>
      </bottom>
    </border>
    <border>
      <left/>
      <right/>
      <top style="thin">
        <color rgb="00E3E1DA"/>
      </top>
      <bottom/>
      <diagonal/>
    </border>
    <border>
      <left/>
      <right style="thin">
        <color rgb="00E3E1DA"/>
      </right>
      <top style="thin">
        <color rgb="00E3E1DA"/>
      </top>
      <bottom/>
      <diagonal/>
    </border>
    <border>
      <left/>
      <right/>
      <top style="thin">
        <color rgb="00E3E1DA"/>
      </top>
      <bottom style="thin">
        <color rgb="00E3E1DA"/>
      </bottom>
      <diagonal/>
    </border>
    <border>
      <left/>
      <right style="thin">
        <color rgb="00E3E1DA"/>
      </right>
      <top style="thin">
        <color rgb="00E3E1DA"/>
      </top>
      <bottom style="thin">
        <color rgb="00E3E1DA"/>
      </bottom>
      <diagonal/>
    </border>
  </borders>
  <cellStyleXfs count="1">
    <xf numFmtId="0" fontId="0" fillId="0" borderId="0"/>
  </cellStyleXfs>
  <cellXfs count="31">
    <xf numFmtId="0" fontId="0" fillId="0" borderId="0" pivotButton="0" quotePrefix="0" xfId="0"/>
    <xf numFmtId="0" fontId="0" fillId="2"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3" fillId="0" borderId="0" applyAlignment="1" pivotButton="0" quotePrefix="0" xfId="0">
      <alignment vertical="center" wrapText="1"/>
    </xf>
    <xf numFmtId="0" fontId="4" fillId="0" borderId="1" applyAlignment="1" pivotButton="0" quotePrefix="0" xfId="0">
      <alignment vertical="center" wrapText="1"/>
    </xf>
    <xf numFmtId="0" fontId="3" fillId="3" borderId="0" applyAlignment="1" pivotButton="0" quotePrefix="0" xfId="0">
      <alignment vertical="center" wrapText="1"/>
    </xf>
    <xf numFmtId="0" fontId="5" fillId="4" borderId="0" applyAlignment="1" pivotButton="0" quotePrefix="0" xfId="0">
      <alignment vertical="center" wrapText="1"/>
    </xf>
    <xf numFmtId="0" fontId="1" fillId="2" borderId="0" pivotButton="0" quotePrefix="0" xfId="0"/>
    <xf numFmtId="0" fontId="6" fillId="2" borderId="0" pivotButton="0" quotePrefix="0" xfId="0"/>
    <xf numFmtId="0" fontId="7" fillId="0" borderId="0" applyAlignment="1" pivotButton="0" quotePrefix="0" xfId="0">
      <alignment vertical="center" wrapText="1"/>
    </xf>
    <xf numFmtId="0" fontId="0" fillId="3" borderId="2" pivotButton="0" quotePrefix="0" xfId="0"/>
    <xf numFmtId="0" fontId="0" fillId="0" borderId="5" pivotButton="0" quotePrefix="0" xfId="0"/>
    <xf numFmtId="0" fontId="0" fillId="0" borderId="6" pivotButton="0" quotePrefix="0" xfId="0"/>
    <xf numFmtId="164" fontId="0" fillId="3" borderId="2" pivotButton="0" quotePrefix="0" xfId="0"/>
    <xf numFmtId="0" fontId="8" fillId="0" borderId="0" applyAlignment="1" pivotButton="0" quotePrefix="0" xfId="0">
      <alignment vertical="center" wrapText="1"/>
    </xf>
    <xf numFmtId="0" fontId="9" fillId="0" borderId="1" pivotButton="0" quotePrefix="0" xfId="0"/>
    <xf numFmtId="0" fontId="0" fillId="0" borderId="1" pivotButton="0" quotePrefix="0" xfId="0"/>
    <xf numFmtId="0" fontId="10" fillId="2" borderId="0" applyAlignment="1" pivotButton="0" quotePrefix="0" xfId="0">
      <alignment vertical="center" wrapText="1"/>
    </xf>
    <xf numFmtId="165" fontId="0" fillId="3" borderId="2" pivotButton="0" quotePrefix="0" xfId="0"/>
    <xf numFmtId="165" fontId="0" fillId="0" borderId="2" pivotButton="0" quotePrefix="0" xfId="0"/>
    <xf numFmtId="164" fontId="0" fillId="0" borderId="2" pivotButton="0" quotePrefix="0" xfId="0"/>
    <xf numFmtId="165" fontId="11" fillId="4" borderId="2" pivotButton="0" quotePrefix="0" xfId="0"/>
    <xf numFmtId="9" fontId="0" fillId="3" borderId="2" pivotButton="0" quotePrefix="0" xfId="0"/>
    <xf numFmtId="0" fontId="12" fillId="0" borderId="0" pivotButton="0" quotePrefix="0" xfId="0"/>
    <xf numFmtId="0" fontId="13" fillId="0" borderId="0" pivotButton="0" quotePrefix="0" xfId="0"/>
    <xf numFmtId="9" fontId="0" fillId="0" borderId="2" pivotButton="0" quotePrefix="0" xfId="0"/>
    <xf numFmtId="166" fontId="0" fillId="0" borderId="2" pivotButton="0" quotePrefix="0" xfId="0"/>
    <xf numFmtId="167" fontId="0" fillId="0" borderId="2" pivotButton="0" quotePrefix="0" xfId="0"/>
    <xf numFmtId="0" fontId="14" fillId="2" borderId="0" pivotButton="0" quotePrefix="0" xfId="0"/>
    <xf numFmtId="0" fontId="1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Kalkulator</author>
  </authors>
  <commentList>
    <comment ref="E16" authorId="0" shapeId="0">
      <text>
        <t>W przepisie z Biblii nie ma odżywki – zużycie 0 g. Wpisz ilość, jeśli ją dodajesz.</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27"/>
  <sheetViews>
    <sheetView showGridLines="0" workbookViewId="0">
      <selection activeCell="A1" sqref="A1"/>
    </sheetView>
  </sheetViews>
  <sheetFormatPr baseColWidth="8" defaultRowHeight="15"/>
  <cols>
    <col width="4" customWidth="1" min="1" max="1"/>
    <col width="100" customWidth="1" min="2" max="2"/>
  </cols>
  <sheetData>
    <row r="1" ht="34" customHeight="1">
      <c r="A1" s="1" t="n"/>
      <c r="B1" s="2" t="inlineStr">
        <is>
          <t>Kalkulator Ceny w zł</t>
        </is>
      </c>
    </row>
    <row r="2" ht="20" customHeight="1">
      <c r="A2" s="1" t="n"/>
      <c r="B2" s="3" t="inlineStr">
        <is>
          <t>Pierwsze Zamówienia w 14 Dni™ · ile naprawdę kosztuje Cię jeden baton i za ile go sprzedać</t>
        </is>
      </c>
    </row>
    <row r="3">
      <c r="B3" s="4" t="inlineStr"/>
    </row>
    <row r="4">
      <c r="B4" s="5" t="inlineStr">
        <is>
          <t>Jak to działa – 6 kroków</t>
        </is>
      </c>
    </row>
    <row r="5" ht="30" customHeight="1">
      <c r="B5" s="4" t="inlineStr">
        <is>
          <t>1. Przejdź do arkusza „Kalkulator”. Jest wypełniony przykładem: Batony owsiano-miodowe z rozdziału 4 Biblii.</t>
        </is>
      </c>
    </row>
    <row r="6">
      <c r="B6" s="4" t="inlineStr">
        <is>
          <t>2. Ceny w przykładzie to PRZYKŁADOWE CENY z polskiego supermarketu – wpisz swoje z paragonów.</t>
        </is>
      </c>
    </row>
    <row r="7" ht="30" customHeight="1">
      <c r="B7" s="4" t="inlineStr">
        <is>
          <t>3. Wypełniasz tylko ŻÓŁTE pola: cena opakowania, wielkość opakowania, ile zużyłaś do partii, liczba batonów z partii.</t>
        </is>
      </c>
    </row>
    <row r="8">
      <c r="B8" s="4" t="inlineStr">
        <is>
          <t>4. Dopisz koszt torebki i etykiety oraz inne koszty partii (np. papier do pieczenia).</t>
        </is>
      </c>
    </row>
    <row r="9" ht="30" customHeight="1">
      <c r="B9" s="4" t="inlineStr">
        <is>
          <t>5. Wybierz narzut (np. 120%). Kalkulator policzy koszt sztuki, cenę zaokrągloną w górę do 0,50 zł i zysk z partii.</t>
        </is>
      </c>
    </row>
    <row r="10">
      <c r="B10" s="4" t="inlineStr">
        <is>
          <t>6. Chcesz inną cenę? Wpisz ją w polu „Twoja cena”. Kalkulator przeliczy zysk dla Twojej ceny.</t>
        </is>
      </c>
    </row>
    <row r="11">
      <c r="B11" s="4" t="inlineStr"/>
    </row>
    <row r="12">
      <c r="B12" s="5" t="inlineStr">
        <is>
          <t>Kolory pól</t>
        </is>
      </c>
    </row>
    <row r="13">
      <c r="B13" s="6" t="inlineStr">
        <is>
          <t>Żółte pole = tu wpisujesz swoje dane.</t>
        </is>
      </c>
    </row>
    <row r="14">
      <c r="B14" s="4" t="inlineStr">
        <is>
          <t>Białe pole = wynik liczony automatycznie. Nie nadpisuj go – są w nim formuły.</t>
        </is>
      </c>
    </row>
    <row r="15">
      <c r="B15" s="7" t="inlineStr">
        <is>
          <t>Limonkowe pole = najważniejsze wyniki: koszt batona, cena i zysk.</t>
        </is>
      </c>
    </row>
    <row r="16">
      <c r="B16" s="4" t="inlineStr"/>
    </row>
    <row r="17">
      <c r="B17" s="5" t="inlineStr">
        <is>
          <t>Ważne zasady</t>
        </is>
      </c>
    </row>
    <row r="18" ht="30" customHeight="1">
      <c r="B18" s="4" t="inlineStr">
        <is>
          <t>• Wielkość opakowania i zużycie wpisuj w tej samej jednostce (gramy z gramami, ml z ml, sztuki ze sztukami).</t>
        </is>
      </c>
    </row>
    <row r="19" ht="30" customHeight="1">
      <c r="B19" s="4" t="inlineStr">
        <is>
          <t>• Masz przepis w szklankach? Na etykiecie opakowania lub w Biblii przy przepisie znajdziesz gramy (np. 2 szklanki płatków = 180 g).</t>
        </is>
      </c>
    </row>
    <row r="20" ht="30" customHeight="1">
      <c r="B20" s="4" t="inlineStr">
        <is>
          <t>• Odżywki białkowej nie ma w przepisie przykładowym – zostawiliśmy wiersz z zużyciem 0 g. Jeśli ją dodajesz, wpisz ilość.</t>
        </is>
      </c>
    </row>
    <row r="21" ht="30" customHeight="1">
      <c r="B21" s="4" t="inlineStr">
        <is>
          <t>• Arkusze „Mój przepis 2” i „Mój przepis 3” są puste – na kolejne smaki. Arkusz „Porównanie” zbiera wyniki ze wszystkich trzech.</t>
        </is>
      </c>
    </row>
    <row r="22" ht="30" customHeight="1">
      <c r="B22" s="4" t="inlineStr">
        <is>
          <t>• Dolna część arkusza „Kalkulator” liczy też cenę zestawu i listę zakupów, gdy masz zamówienia na więcej batonów (Dzień 12 planu).</t>
        </is>
      </c>
    </row>
    <row r="23" ht="30" customHeight="1">
      <c r="B23" s="4" t="inlineStr">
        <is>
          <t>• Narzut = o ile procent cena jest wyższa od kosztu. Marża = jaka część ceny zostaje Ci jako zysk. To dwie różne liczby – kalkulator pokazuje obie.</t>
        </is>
      </c>
    </row>
    <row r="24">
      <c r="B24" s="4" t="inlineStr"/>
    </row>
    <row r="25">
      <c r="B25" s="5" t="inlineStr">
        <is>
          <t>Uczciwie</t>
        </is>
      </c>
    </row>
    <row r="26" ht="30" customHeight="1">
      <c r="B26" s="4" t="inlineStr">
        <is>
          <t>Kalkulator liczy koszty i zysk na podstawie liczb, które wpiszesz. Nie przewiduje, ile sprzedasz. Wszystkie kwoty w przykładzie są przykładowe.</t>
        </is>
      </c>
    </row>
    <row r="27">
      <c r="B27" s="4" t="inlineStr">
        <is>
          <t>Instrukcja krok po kroku jest też w pliku PDF „Jak używać kalkulatora”.</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G60"/>
  <sheetViews>
    <sheetView showGridLines="0" workbookViewId="0">
      <pane ySplit="3" topLeftCell="A4" activePane="bottomLeft" state="frozen"/>
      <selection pane="bottomLeft" activeCell="A1" sqref="A1"/>
    </sheetView>
  </sheetViews>
  <sheetFormatPr baseColWidth="8" defaultRowHeight="15"/>
  <cols>
    <col width="38" customWidth="1" min="1" max="1"/>
    <col width="17" customWidth="1" min="2" max="2"/>
    <col width="17" customWidth="1" min="3" max="3"/>
    <col width="12" customWidth="1" min="4" max="4"/>
    <col width="16" customWidth="1" min="5" max="5"/>
    <col width="17" customWidth="1" min="6" max="6"/>
    <col width="18" customWidth="1" min="7" max="7"/>
  </cols>
  <sheetData>
    <row r="1" ht="34" customHeight="1">
      <c r="A1" s="8" t="inlineStr">
        <is>
          <t>Kalkulator Ceny w zł</t>
        </is>
      </c>
    </row>
    <row r="2">
      <c r="A2" s="9" t="inlineStr">
        <is>
          <t>Przykład: Batony owsiano-miodowe (Biblia, rozdział 4) · PRZYKŁADOWE CENY, WPISZ SWOJE</t>
        </is>
      </c>
    </row>
    <row r="4">
      <c r="A4" s="10" t="inlineStr">
        <is>
          <t>Nazwa przepisu</t>
        </is>
      </c>
      <c r="B4" s="11" t="inlineStr">
        <is>
          <t>Batony owsiano-miodowe</t>
        </is>
      </c>
      <c r="C4" s="12" t="n"/>
      <c r="D4" s="13" t="n"/>
    </row>
    <row r="5">
      <c r="A5" s="10" t="inlineStr">
        <is>
          <t>Liczba batonów z jednej partii</t>
        </is>
      </c>
      <c r="B5" s="14" t="n">
        <v>12</v>
      </c>
    </row>
    <row r="6">
      <c r="A6" s="15" t="inlineStr">
        <is>
          <t>Waga jednego batona (g) – na etykietę</t>
        </is>
      </c>
      <c r="B6" s="14" t="n">
        <v>40</v>
      </c>
    </row>
    <row r="8">
      <c r="A8" s="16" t="inlineStr">
        <is>
          <t>1. Składniki na jedną partię</t>
        </is>
      </c>
      <c r="B8" s="17" t="n"/>
      <c r="C8" s="17" t="n"/>
      <c r="D8" s="17" t="n"/>
      <c r="E8" s="17" t="n"/>
      <c r="F8" s="17" t="n"/>
      <c r="G8" s="17" t="n"/>
    </row>
    <row r="9" ht="32" customHeight="1">
      <c r="A9" s="18" t="inlineStr">
        <is>
          <t>Składnik</t>
        </is>
      </c>
      <c r="B9" s="18" t="inlineStr">
        <is>
          <t>Cena opakowania (zł)</t>
        </is>
      </c>
      <c r="C9" s="18" t="inlineStr">
        <is>
          <t>Wielkość opakowania</t>
        </is>
      </c>
      <c r="D9" s="18" t="inlineStr">
        <is>
          <t>Jednostka</t>
        </is>
      </c>
      <c r="E9" s="18" t="inlineStr">
        <is>
          <t>Zużyte w partii</t>
        </is>
      </c>
      <c r="F9" s="18" t="inlineStr">
        <is>
          <t>Koszt w partii (zł)</t>
        </is>
      </c>
      <c r="G9" s="18" t="inlineStr">
        <is>
          <t>Na zamówienie (patrz pkt 5)</t>
        </is>
      </c>
    </row>
    <row r="10">
      <c r="A10" s="11" t="inlineStr">
        <is>
          <t>Płatki owsiane</t>
        </is>
      </c>
      <c r="B10" s="19" t="n">
        <v>4.49</v>
      </c>
      <c r="C10" s="14" t="n">
        <v>500</v>
      </c>
      <c r="D10" s="11" t="inlineStr">
        <is>
          <t>g</t>
        </is>
      </c>
      <c r="E10" s="14" t="n">
        <v>180</v>
      </c>
      <c r="F10" s="20">
        <f>IF(AND(ISNUMBER(B10),ISNUMBER(C10),ISNUMBER(E10),N(C10)&gt;0),B10/C10*E10,0)</f>
        <v/>
      </c>
      <c r="G10" s="21">
        <f>IF(ISNUMBER(E10),E10*$B$54,"")</f>
        <v/>
      </c>
    </row>
    <row r="11">
      <c r="A11" s="11" t="inlineStr">
        <is>
          <t>Miód</t>
        </is>
      </c>
      <c r="B11" s="19" t="n">
        <v>17.99</v>
      </c>
      <c r="C11" s="14" t="n">
        <v>370</v>
      </c>
      <c r="D11" s="11" t="inlineStr">
        <is>
          <t>g</t>
        </is>
      </c>
      <c r="E11" s="14" t="n">
        <v>170</v>
      </c>
      <c r="F11" s="20">
        <f>IF(AND(ISNUMBER(B11),ISNUMBER(C11),ISNUMBER(E11),N(C11)&gt;0),B11/C11*E11,0)</f>
        <v/>
      </c>
      <c r="G11" s="21">
        <f>IF(ISNUMBER(E11),E11*$B$54,"")</f>
        <v/>
      </c>
    </row>
    <row r="12">
      <c r="A12" s="11" t="inlineStr">
        <is>
          <t>Masło orzechowe 100%</t>
        </is>
      </c>
      <c r="B12" s="19" t="n">
        <v>12.99</v>
      </c>
      <c r="C12" s="14" t="n">
        <v>350</v>
      </c>
      <c r="D12" s="11" t="inlineStr">
        <is>
          <t>g</t>
        </is>
      </c>
      <c r="E12" s="14" t="n">
        <v>65</v>
      </c>
      <c r="F12" s="20">
        <f>IF(AND(ISNUMBER(B12),ISNUMBER(C12),ISNUMBER(E12),N(C12)&gt;0),B12/C12*E12,0)</f>
        <v/>
      </c>
      <c r="G12" s="21">
        <f>IF(ISNUMBER(E12),E12*$B$54,"")</f>
        <v/>
      </c>
    </row>
    <row r="13">
      <c r="A13" s="11" t="inlineStr">
        <is>
          <t>Orzechy włoskie (siekane)</t>
        </is>
      </c>
      <c r="B13" s="19" t="n">
        <v>11.99</v>
      </c>
      <c r="C13" s="14" t="n">
        <v>200</v>
      </c>
      <c r="D13" s="11" t="inlineStr">
        <is>
          <t>g</t>
        </is>
      </c>
      <c r="E13" s="14" t="n">
        <v>60</v>
      </c>
      <c r="F13" s="20">
        <f>IF(AND(ISNUMBER(B13),ISNUMBER(C13),ISNUMBER(E13),N(C13)&gt;0),B13/C13*E13,0)</f>
        <v/>
      </c>
      <c r="G13" s="21">
        <f>IF(ISNUMBER(E13),E13*$B$54,"")</f>
        <v/>
      </c>
    </row>
    <row r="14">
      <c r="A14" s="11" t="inlineStr">
        <is>
          <t>Ekstrakt waniliowy</t>
        </is>
      </c>
      <c r="B14" s="19" t="n">
        <v>16.99</v>
      </c>
      <c r="C14" s="14" t="n">
        <v>50</v>
      </c>
      <c r="D14" s="11" t="inlineStr">
        <is>
          <t>ml</t>
        </is>
      </c>
      <c r="E14" s="14" t="n">
        <v>5</v>
      </c>
      <c r="F14" s="20">
        <f>IF(AND(ISNUMBER(B14),ISNUMBER(C14),ISNUMBER(E14),N(C14)&gt;0),B14/C14*E14,0)</f>
        <v/>
      </c>
      <c r="G14" s="21">
        <f>IF(ISNUMBER(E14),E14*$B$54,"")</f>
        <v/>
      </c>
    </row>
    <row r="15">
      <c r="A15" s="11" t="inlineStr">
        <is>
          <t>Sól</t>
        </is>
      </c>
      <c r="B15" s="19" t="n">
        <v>2.49</v>
      </c>
      <c r="C15" s="14" t="n">
        <v>1000</v>
      </c>
      <c r="D15" s="11" t="inlineStr">
        <is>
          <t>g</t>
        </is>
      </c>
      <c r="E15" s="14" t="n">
        <v>1</v>
      </c>
      <c r="F15" s="20">
        <f>IF(AND(ISNUMBER(B15),ISNUMBER(C15),ISNUMBER(E15),N(C15)&gt;0),B15/C15*E15,0)</f>
        <v/>
      </c>
      <c r="G15" s="21">
        <f>IF(ISNUMBER(E15),E15*$B$54,"")</f>
        <v/>
      </c>
    </row>
    <row r="16">
      <c r="A16" s="11" t="inlineStr">
        <is>
          <t>Odżywka białkowa (jeśli dodajesz)</t>
        </is>
      </c>
      <c r="B16" s="19" t="n">
        <v>89.98999999999999</v>
      </c>
      <c r="C16" s="14" t="n">
        <v>700</v>
      </c>
      <c r="D16" s="11" t="inlineStr">
        <is>
          <t>g</t>
        </is>
      </c>
      <c r="E16" s="14" t="n">
        <v>0</v>
      </c>
      <c r="F16" s="20">
        <f>IF(AND(ISNUMBER(B16),ISNUMBER(C16),ISNUMBER(E16),N(C16)&gt;0),B16/C16*E16,0)</f>
        <v/>
      </c>
      <c r="G16" s="21">
        <f>IF(ISNUMBER(E16),E16*$B$54,"")</f>
        <v/>
      </c>
    </row>
    <row r="17">
      <c r="A17" s="11" t="n"/>
      <c r="B17" s="19" t="n"/>
      <c r="C17" s="14" t="n"/>
      <c r="D17" s="11" t="n"/>
      <c r="E17" s="14" t="n"/>
      <c r="F17" s="20">
        <f>IF(AND(ISNUMBER(B17),ISNUMBER(C17),ISNUMBER(E17),N(C17)&gt;0),B17/C17*E17,0)</f>
        <v/>
      </c>
      <c r="G17" s="21">
        <f>IF(ISNUMBER(E17),E17*$B$54,"")</f>
        <v/>
      </c>
    </row>
    <row r="18">
      <c r="A18" s="11" t="n"/>
      <c r="B18" s="19" t="n"/>
      <c r="C18" s="14" t="n"/>
      <c r="D18" s="11" t="n"/>
      <c r="E18" s="14" t="n"/>
      <c r="F18" s="20">
        <f>IF(AND(ISNUMBER(B18),ISNUMBER(C18),ISNUMBER(E18),N(C18)&gt;0),B18/C18*E18,0)</f>
        <v/>
      </c>
      <c r="G18" s="21">
        <f>IF(ISNUMBER(E18),E18*$B$54,"")</f>
        <v/>
      </c>
    </row>
    <row r="19">
      <c r="A19" s="11" t="n"/>
      <c r="B19" s="19" t="n"/>
      <c r="C19" s="14" t="n"/>
      <c r="D19" s="11" t="n"/>
      <c r="E19" s="14" t="n"/>
      <c r="F19" s="20">
        <f>IF(AND(ISNUMBER(B19),ISNUMBER(C19),ISNUMBER(E19),N(C19)&gt;0),B19/C19*E19,0)</f>
        <v/>
      </c>
      <c r="G19" s="21">
        <f>IF(ISNUMBER(E19),E19*$B$54,"")</f>
        <v/>
      </c>
    </row>
    <row r="20">
      <c r="A20" s="11" t="n"/>
      <c r="B20" s="19" t="n"/>
      <c r="C20" s="14" t="n"/>
      <c r="D20" s="11" t="n"/>
      <c r="E20" s="14" t="n"/>
      <c r="F20" s="20">
        <f>IF(AND(ISNUMBER(B20),ISNUMBER(C20),ISNUMBER(E20),N(C20)&gt;0),B20/C20*E20,0)</f>
        <v/>
      </c>
      <c r="G20" s="21">
        <f>IF(ISNUMBER(E20),E20*$B$54,"")</f>
        <v/>
      </c>
    </row>
    <row r="21">
      <c r="A21" s="11" t="n"/>
      <c r="B21" s="19" t="n"/>
      <c r="C21" s="14" t="n"/>
      <c r="D21" s="11" t="n"/>
      <c r="E21" s="14" t="n"/>
      <c r="F21" s="20">
        <f>IF(AND(ISNUMBER(B21),ISNUMBER(C21),ISNUMBER(E21),N(C21)&gt;0),B21/C21*E21,0)</f>
        <v/>
      </c>
      <c r="G21" s="21">
        <f>IF(ISNUMBER(E21),E21*$B$54,"")</f>
        <v/>
      </c>
    </row>
    <row r="22">
      <c r="A22" s="10" t="inlineStr">
        <is>
          <t>Suma składników na partię</t>
        </is>
      </c>
      <c r="F22" s="22">
        <f>SUM(F10:F21)</f>
        <v/>
      </c>
    </row>
    <row r="24">
      <c r="A24" s="16" t="inlineStr">
        <is>
          <t>2. Opakowanie i etykieta (na jeden baton)</t>
        </is>
      </c>
      <c r="B24" s="17" t="n"/>
      <c r="C24" s="17" t="n"/>
      <c r="D24" s="17" t="n"/>
      <c r="E24" s="17" t="n"/>
      <c r="F24" s="17" t="n"/>
      <c r="G24" s="17" t="n"/>
    </row>
    <row r="25" ht="32" customHeight="1">
      <c r="A25" s="18" t="inlineStr">
        <is>
          <t>Element</t>
        </is>
      </c>
      <c r="B25" s="18" t="inlineStr">
        <is>
          <t>Cena paczki (zł)</t>
        </is>
      </c>
      <c r="C25" s="18" t="inlineStr">
        <is>
          <t>Sztuk w paczce</t>
        </is>
      </c>
      <c r="D25" s="18" t="inlineStr"/>
      <c r="E25" s="18" t="inlineStr">
        <is>
          <t>Ile na 1 baton</t>
        </is>
      </c>
      <c r="F25" s="18" t="inlineStr">
        <is>
          <t>Koszt na baton (zł)</t>
        </is>
      </c>
      <c r="G25" s="18" t="inlineStr"/>
    </row>
    <row r="26">
      <c r="A26" s="11" t="inlineStr">
        <is>
          <t>Torebka celofanowa</t>
        </is>
      </c>
      <c r="B26" s="19" t="n">
        <v>14.99</v>
      </c>
      <c r="C26" s="14" t="n">
        <v>100</v>
      </c>
      <c r="E26" s="14" t="n">
        <v>1</v>
      </c>
      <c r="F26" s="20">
        <f>IF(AND(ISNUMBER(B26),ISNUMBER(C26),N(C26)&gt;0),B26/C26*N(E26),0)</f>
        <v/>
      </c>
    </row>
    <row r="27">
      <c r="A27" s="11" t="inlineStr">
        <is>
          <t>Etykieta (25 arkuszy A4 × 8 etykiet)</t>
        </is>
      </c>
      <c r="B27" s="19" t="n">
        <v>19.99</v>
      </c>
      <c r="C27" s="14" t="n">
        <v>200</v>
      </c>
      <c r="E27" s="14" t="n">
        <v>1</v>
      </c>
      <c r="F27" s="20">
        <f>IF(AND(ISNUMBER(B27),ISNUMBER(C27),N(C27)&gt;0),B27/C27*N(E27),0)</f>
        <v/>
      </c>
    </row>
    <row r="28">
      <c r="A28" s="11" t="n"/>
      <c r="B28" s="19" t="n"/>
      <c r="C28" s="14" t="n"/>
      <c r="E28" s="14" t="n"/>
      <c r="F28" s="20">
        <f>IF(AND(ISNUMBER(B28),ISNUMBER(C28),N(C28)&gt;0),B28/C28*N(E28),0)</f>
        <v/>
      </c>
    </row>
    <row r="29">
      <c r="A29" s="10" t="inlineStr">
        <is>
          <t>Opakowanie na jeden baton</t>
        </is>
      </c>
      <c r="F29" s="22">
        <f>SUM(F26:F28)</f>
        <v/>
      </c>
    </row>
    <row r="31">
      <c r="A31" s="10" t="inlineStr">
        <is>
          <t>Inne koszty partii (zł): papier do pieczenia, prąd, dojazd…</t>
        </is>
      </c>
      <c r="B31" s="19" t="n">
        <v>1</v>
      </c>
    </row>
    <row r="33">
      <c r="A33" s="16" t="inlineStr">
        <is>
          <t>3. Koszt i cena</t>
        </is>
      </c>
      <c r="B33" s="17" t="n"/>
      <c r="C33" s="17" t="n"/>
      <c r="D33" s="17" t="n"/>
      <c r="E33" s="17" t="n"/>
      <c r="F33" s="17" t="n"/>
      <c r="G33" s="17" t="n"/>
    </row>
    <row r="34">
      <c r="A34" s="15" t="inlineStr">
        <is>
          <t>Koszt składników na baton</t>
        </is>
      </c>
      <c r="B34" s="20">
        <f>IF(N(B5)&gt;0,F22/B5,0)</f>
        <v/>
      </c>
    </row>
    <row r="35">
      <c r="A35" s="15" t="inlineStr">
        <is>
          <t>Koszt opakowania na baton</t>
        </is>
      </c>
      <c r="B35" s="20">
        <f>F29</f>
        <v/>
      </c>
    </row>
    <row r="36">
      <c r="A36" s="15" t="inlineStr">
        <is>
          <t>Inne koszty na baton</t>
        </is>
      </c>
      <c r="B36" s="20">
        <f>IF(N(B5)&gt;0,N(B31)/B5,0)</f>
        <v/>
      </c>
    </row>
    <row r="37">
      <c r="A37" s="10" t="inlineStr">
        <is>
          <t>KOSZT JEDNEGO BATONA</t>
        </is>
      </c>
      <c r="B37" s="22">
        <f>B34+B35+B36</f>
        <v/>
      </c>
    </row>
    <row r="38">
      <c r="A38" s="10" t="inlineStr">
        <is>
          <t>Twój narzut na koszt (%)</t>
        </is>
      </c>
      <c r="B38" s="23" t="n">
        <v>1.2</v>
      </c>
      <c r="C38" s="24" t="inlineStr">
        <is>
          <t>np. 100% = cena to podwójny koszt</t>
        </is>
      </c>
    </row>
    <row r="39">
      <c r="A39" s="15" t="inlineStr">
        <is>
          <t>Cena wyliczona (koszt + narzut)</t>
        </is>
      </c>
      <c r="B39" s="20">
        <f>B37*(1+N(B38))</f>
        <v/>
      </c>
    </row>
    <row r="40">
      <c r="A40" s="10" t="inlineStr">
        <is>
          <t>Cena sugerowana (w górę do 0,50 zł)</t>
        </is>
      </c>
      <c r="B40" s="22">
        <f>ROUNDUP(B39*2,0)/2</f>
        <v/>
      </c>
    </row>
    <row r="41">
      <c r="A41" s="15" t="inlineStr">
        <is>
          <t>Twoja cena (opcjonalnie – zostaw puste, by użyć sugerowanej)</t>
        </is>
      </c>
      <c r="B41" s="19" t="n"/>
    </row>
    <row r="42">
      <c r="A42" s="10" t="inlineStr">
        <is>
          <t>Cena do obliczeń</t>
        </is>
      </c>
      <c r="B42" s="20">
        <f>IF(ISNUMBER(B41),B41,B40)</f>
        <v/>
      </c>
    </row>
    <row r="44">
      <c r="A44" s="16" t="inlineStr">
        <is>
          <t>4. Zysk</t>
        </is>
      </c>
      <c r="B44" s="17" t="n"/>
      <c r="C44" s="17" t="n"/>
      <c r="D44" s="17" t="n"/>
      <c r="E44" s="17" t="n"/>
      <c r="F44" s="17" t="n"/>
      <c r="G44" s="17" t="n"/>
    </row>
    <row r="45">
      <c r="A45" s="10" t="inlineStr">
        <is>
          <t>Zysk na jednym batonie</t>
        </is>
      </c>
      <c r="B45" s="22">
        <f>B42-B37</f>
        <v/>
      </c>
      <c r="C45" s="25">
        <f>IF(B45&lt;0,"UWAGA: cena poniżej kosztu!","")</f>
        <v/>
      </c>
    </row>
    <row r="46">
      <c r="A46" s="15" t="inlineStr">
        <is>
          <t>Marża w cenie (jaka część ceny to zysk)</t>
        </is>
      </c>
      <c r="B46" s="26">
        <f>IF(B42&gt;0,B45/B42,0)</f>
        <v/>
      </c>
    </row>
    <row r="47">
      <c r="A47" s="15" t="inlineStr">
        <is>
          <t>Koszt całej partii</t>
        </is>
      </c>
      <c r="B47" s="20">
        <f>B37*N(B5)</f>
        <v/>
      </c>
    </row>
    <row r="48">
      <c r="A48" s="15" t="inlineStr">
        <is>
          <t>Przychód z partii (gdy sprzedasz wszystkie)</t>
        </is>
      </c>
      <c r="B48" s="20">
        <f>B42*N(B5)</f>
        <v/>
      </c>
    </row>
    <row r="49">
      <c r="A49" s="10" t="inlineStr">
        <is>
          <t>ZYSK Z PARTII</t>
        </is>
      </c>
      <c r="B49" s="22">
        <f>B48-B47</f>
        <v/>
      </c>
    </row>
    <row r="50">
      <c r="A50" s="15" t="inlineStr">
        <is>
          <t>Ile batonów sprzedać, by pokryć koszt partii</t>
        </is>
      </c>
      <c r="B50" s="27">
        <f>IF(B42&gt;0,ROUNDUP(B47/B42,0),0)</f>
        <v/>
      </c>
    </row>
    <row r="51">
      <c r="A51" s="15" t="inlineStr">
        <is>
          <t>Twój czas pracy na partię (godz., bez tężenia)</t>
        </is>
      </c>
      <c r="B51" s="14" t="n">
        <v>1</v>
      </c>
    </row>
    <row r="52">
      <c r="A52" s="15" t="inlineStr">
        <is>
          <t>Zysk na godzinę Twojej pracy</t>
        </is>
      </c>
      <c r="B52" s="20">
        <f>IF(N(B51)&gt;0,B49/B51,0)</f>
        <v/>
      </c>
    </row>
    <row r="53">
      <c r="A53" s="16" t="inlineStr">
        <is>
          <t>5. Zamówienia i zestaw</t>
        </is>
      </c>
      <c r="B53" s="17" t="n"/>
      <c r="C53" s="17" t="n"/>
      <c r="D53" s="17" t="n"/>
      <c r="E53" s="17" t="n"/>
      <c r="F53" s="17" t="n"/>
      <c r="G53" s="17" t="n"/>
    </row>
    <row r="54">
      <c r="A54" s="10" t="inlineStr">
        <is>
          <t>Ile partii zrobić? (wynik z pola niżej)</t>
        </is>
      </c>
      <c r="B54" s="28">
        <f>IF(AND(N(B5)&gt;0,N(B55)&gt;0),ROUNDUP(B55/B5,0),1)</f>
        <v/>
      </c>
      <c r="C54" s="24" t="inlineStr">
        <is>
          <t>Kolumna G w tabeli składników pokazuje, ile każdego składnika potrzebujesz.</t>
        </is>
      </c>
    </row>
    <row r="55">
      <c r="A55" s="15" t="inlineStr">
        <is>
          <t>Ile batonów masz w zamówieniach (z zapasem)</t>
        </is>
      </c>
      <c r="B55" s="14" t="n">
        <v>30</v>
      </c>
    </row>
    <row r="57">
      <c r="A57" s="15" t="inlineStr">
        <is>
          <t>Liczba batonów w zestawie</t>
        </is>
      </c>
      <c r="B57" s="14" t="n">
        <v>5</v>
      </c>
    </row>
    <row r="58">
      <c r="A58" s="15" t="inlineStr">
        <is>
          <t>Rabat na zestaw (%)</t>
        </is>
      </c>
      <c r="B58" s="23" t="n">
        <v>0.1</v>
      </c>
    </row>
    <row r="59">
      <c r="A59" s="10" t="inlineStr">
        <is>
          <t>Cena zestawu (w górę do 0,50 zł)</t>
        </is>
      </c>
      <c r="B59" s="22">
        <f>ROUNDUP(B42*N(B57)*(1-N(B58))*2,0)/2</f>
        <v/>
      </c>
    </row>
    <row r="60">
      <c r="A60" s="15" t="inlineStr">
        <is>
          <t>Zysk na zestawie</t>
        </is>
      </c>
      <c r="B60" s="20">
        <f>B59-B37*N(B57)</f>
        <v/>
      </c>
      <c r="C60" s="25">
        <f>IF(B60&lt;0,"UWAGA: zestaw poniżej kosztu!","")</f>
        <v/>
      </c>
    </row>
  </sheetData>
  <mergeCells count="3">
    <mergeCell ref="A2:G2"/>
    <mergeCell ref="A1:G1"/>
    <mergeCell ref="B4:D4"/>
  </mergeCells>
  <dataValidations count="1">
    <dataValidation sqref="B5 B6 B10 B11 B12 B13 B14 B15 B16 B17 B18 B19 B20 B21 B26 B27 B28 B31 B38 B41 B51 B55 B57 B58 C10 C11 C12 C13 C14 C15 C16 C17 C18 C19 C20 C21 C26 C27 C28 E10 E11 E12 E13 E14 E15 E16 E17 E18 E19 E20 E21 E26 E27 E28" showDropDown="0" showInputMessage="0" showErrorMessage="1" allowBlank="1" errorTitle="Liczba" error="Wpisz liczbę większą lub równą 0." type="decimal" operator="greaterThanOrEqual">
      <formula1>0</formula1>
    </dataValidation>
  </dataValidations>
  <pageMargins left="0.75" right="0.75" top="1" bottom="1" header="0.5" footer="0.5"/>
  <pageSetup orientation="portrait"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G60"/>
  <sheetViews>
    <sheetView showGridLines="0" workbookViewId="0">
      <pane ySplit="3" topLeftCell="A4" activePane="bottomLeft" state="frozen"/>
      <selection pane="bottomLeft" activeCell="A1" sqref="A1"/>
    </sheetView>
  </sheetViews>
  <sheetFormatPr baseColWidth="8" defaultRowHeight="15"/>
  <cols>
    <col width="38" customWidth="1" min="1" max="1"/>
    <col width="17" customWidth="1" min="2" max="2"/>
    <col width="17" customWidth="1" min="3" max="3"/>
    <col width="12" customWidth="1" min="4" max="4"/>
    <col width="16" customWidth="1" min="5" max="5"/>
    <col width="17" customWidth="1" min="6" max="6"/>
    <col width="18" customWidth="1" min="7" max="7"/>
  </cols>
  <sheetData>
    <row r="1" ht="34" customHeight="1">
      <c r="A1" s="8" t="inlineStr">
        <is>
          <t>Kalkulator Ceny w zł</t>
        </is>
      </c>
    </row>
    <row r="2">
      <c r="A2" s="9" t="inlineStr">
        <is>
          <t>Twój przepis · wypełnij żółte pola</t>
        </is>
      </c>
    </row>
    <row r="4">
      <c r="A4" s="10" t="inlineStr">
        <is>
          <t>Nazwa przepisu</t>
        </is>
      </c>
      <c r="B4" s="11" t="n"/>
      <c r="C4" s="12" t="n"/>
      <c r="D4" s="13" t="n"/>
    </row>
    <row r="5">
      <c r="A5" s="10" t="inlineStr">
        <is>
          <t>Liczba batonów z jednej partii</t>
        </is>
      </c>
      <c r="B5" s="14" t="n"/>
    </row>
    <row r="6">
      <c r="A6" s="15" t="inlineStr">
        <is>
          <t>Waga jednego batona (g) – na etykietę</t>
        </is>
      </c>
      <c r="B6" s="14" t="n"/>
    </row>
    <row r="8">
      <c r="A8" s="16" t="inlineStr">
        <is>
          <t>1. Składniki na jedną partię</t>
        </is>
      </c>
      <c r="B8" s="17" t="n"/>
      <c r="C8" s="17" t="n"/>
      <c r="D8" s="17" t="n"/>
      <c r="E8" s="17" t="n"/>
      <c r="F8" s="17" t="n"/>
      <c r="G8" s="17" t="n"/>
    </row>
    <row r="9" ht="32" customHeight="1">
      <c r="A9" s="18" t="inlineStr">
        <is>
          <t>Składnik</t>
        </is>
      </c>
      <c r="B9" s="18" t="inlineStr">
        <is>
          <t>Cena opakowania (zł)</t>
        </is>
      </c>
      <c r="C9" s="18" t="inlineStr">
        <is>
          <t>Wielkość opakowania</t>
        </is>
      </c>
      <c r="D9" s="18" t="inlineStr">
        <is>
          <t>Jednostka</t>
        </is>
      </c>
      <c r="E9" s="18" t="inlineStr">
        <is>
          <t>Zużyte w partii</t>
        </is>
      </c>
      <c r="F9" s="18" t="inlineStr">
        <is>
          <t>Koszt w partii (zł)</t>
        </is>
      </c>
      <c r="G9" s="18" t="inlineStr">
        <is>
          <t>Na zamówienie (patrz pkt 5)</t>
        </is>
      </c>
    </row>
    <row r="10">
      <c r="A10" s="11" t="n"/>
      <c r="B10" s="19" t="n"/>
      <c r="C10" s="14" t="n"/>
      <c r="D10" s="11" t="n"/>
      <c r="E10" s="14" t="n"/>
      <c r="F10" s="20">
        <f>IF(AND(ISNUMBER(B10),ISNUMBER(C10),ISNUMBER(E10),N(C10)&gt;0),B10/C10*E10,0)</f>
        <v/>
      </c>
      <c r="G10" s="21">
        <f>IF(ISNUMBER(E10),E10*$B$54,"")</f>
        <v/>
      </c>
    </row>
    <row r="11">
      <c r="A11" s="11" t="n"/>
      <c r="B11" s="19" t="n"/>
      <c r="C11" s="14" t="n"/>
      <c r="D11" s="11" t="n"/>
      <c r="E11" s="14" t="n"/>
      <c r="F11" s="20">
        <f>IF(AND(ISNUMBER(B11),ISNUMBER(C11),ISNUMBER(E11),N(C11)&gt;0),B11/C11*E11,0)</f>
        <v/>
      </c>
      <c r="G11" s="21">
        <f>IF(ISNUMBER(E11),E11*$B$54,"")</f>
        <v/>
      </c>
    </row>
    <row r="12">
      <c r="A12" s="11" t="n"/>
      <c r="B12" s="19" t="n"/>
      <c r="C12" s="14" t="n"/>
      <c r="D12" s="11" t="n"/>
      <c r="E12" s="14" t="n"/>
      <c r="F12" s="20">
        <f>IF(AND(ISNUMBER(B12),ISNUMBER(C12),ISNUMBER(E12),N(C12)&gt;0),B12/C12*E12,0)</f>
        <v/>
      </c>
      <c r="G12" s="21">
        <f>IF(ISNUMBER(E12),E12*$B$54,"")</f>
        <v/>
      </c>
    </row>
    <row r="13">
      <c r="A13" s="11" t="n"/>
      <c r="B13" s="19" t="n"/>
      <c r="C13" s="14" t="n"/>
      <c r="D13" s="11" t="n"/>
      <c r="E13" s="14" t="n"/>
      <c r="F13" s="20">
        <f>IF(AND(ISNUMBER(B13),ISNUMBER(C13),ISNUMBER(E13),N(C13)&gt;0),B13/C13*E13,0)</f>
        <v/>
      </c>
      <c r="G13" s="21">
        <f>IF(ISNUMBER(E13),E13*$B$54,"")</f>
        <v/>
      </c>
    </row>
    <row r="14">
      <c r="A14" s="11" t="n"/>
      <c r="B14" s="19" t="n"/>
      <c r="C14" s="14" t="n"/>
      <c r="D14" s="11" t="n"/>
      <c r="E14" s="14" t="n"/>
      <c r="F14" s="20">
        <f>IF(AND(ISNUMBER(B14),ISNUMBER(C14),ISNUMBER(E14),N(C14)&gt;0),B14/C14*E14,0)</f>
        <v/>
      </c>
      <c r="G14" s="21">
        <f>IF(ISNUMBER(E14),E14*$B$54,"")</f>
        <v/>
      </c>
    </row>
    <row r="15">
      <c r="A15" s="11" t="n"/>
      <c r="B15" s="19" t="n"/>
      <c r="C15" s="14" t="n"/>
      <c r="D15" s="11" t="n"/>
      <c r="E15" s="14" t="n"/>
      <c r="F15" s="20">
        <f>IF(AND(ISNUMBER(B15),ISNUMBER(C15),ISNUMBER(E15),N(C15)&gt;0),B15/C15*E15,0)</f>
        <v/>
      </c>
      <c r="G15" s="21">
        <f>IF(ISNUMBER(E15),E15*$B$54,"")</f>
        <v/>
      </c>
    </row>
    <row r="16">
      <c r="A16" s="11" t="n"/>
      <c r="B16" s="19" t="n"/>
      <c r="C16" s="14" t="n"/>
      <c r="D16" s="11" t="n"/>
      <c r="E16" s="14" t="n"/>
      <c r="F16" s="20">
        <f>IF(AND(ISNUMBER(B16),ISNUMBER(C16),ISNUMBER(E16),N(C16)&gt;0),B16/C16*E16,0)</f>
        <v/>
      </c>
      <c r="G16" s="21">
        <f>IF(ISNUMBER(E16),E16*$B$54,"")</f>
        <v/>
      </c>
    </row>
    <row r="17">
      <c r="A17" s="11" t="n"/>
      <c r="B17" s="19" t="n"/>
      <c r="C17" s="14" t="n"/>
      <c r="D17" s="11" t="n"/>
      <c r="E17" s="14" t="n"/>
      <c r="F17" s="20">
        <f>IF(AND(ISNUMBER(B17),ISNUMBER(C17),ISNUMBER(E17),N(C17)&gt;0),B17/C17*E17,0)</f>
        <v/>
      </c>
      <c r="G17" s="21">
        <f>IF(ISNUMBER(E17),E17*$B$54,"")</f>
        <v/>
      </c>
    </row>
    <row r="18">
      <c r="A18" s="11" t="n"/>
      <c r="B18" s="19" t="n"/>
      <c r="C18" s="14" t="n"/>
      <c r="D18" s="11" t="n"/>
      <c r="E18" s="14" t="n"/>
      <c r="F18" s="20">
        <f>IF(AND(ISNUMBER(B18),ISNUMBER(C18),ISNUMBER(E18),N(C18)&gt;0),B18/C18*E18,0)</f>
        <v/>
      </c>
      <c r="G18" s="21">
        <f>IF(ISNUMBER(E18),E18*$B$54,"")</f>
        <v/>
      </c>
    </row>
    <row r="19">
      <c r="A19" s="11" t="n"/>
      <c r="B19" s="19" t="n"/>
      <c r="C19" s="14" t="n"/>
      <c r="D19" s="11" t="n"/>
      <c r="E19" s="14" t="n"/>
      <c r="F19" s="20">
        <f>IF(AND(ISNUMBER(B19),ISNUMBER(C19),ISNUMBER(E19),N(C19)&gt;0),B19/C19*E19,0)</f>
        <v/>
      </c>
      <c r="G19" s="21">
        <f>IF(ISNUMBER(E19),E19*$B$54,"")</f>
        <v/>
      </c>
    </row>
    <row r="20">
      <c r="A20" s="11" t="n"/>
      <c r="B20" s="19" t="n"/>
      <c r="C20" s="14" t="n"/>
      <c r="D20" s="11" t="n"/>
      <c r="E20" s="14" t="n"/>
      <c r="F20" s="20">
        <f>IF(AND(ISNUMBER(B20),ISNUMBER(C20),ISNUMBER(E20),N(C20)&gt;0),B20/C20*E20,0)</f>
        <v/>
      </c>
      <c r="G20" s="21">
        <f>IF(ISNUMBER(E20),E20*$B$54,"")</f>
        <v/>
      </c>
    </row>
    <row r="21">
      <c r="A21" s="11" t="n"/>
      <c r="B21" s="19" t="n"/>
      <c r="C21" s="14" t="n"/>
      <c r="D21" s="11" t="n"/>
      <c r="E21" s="14" t="n"/>
      <c r="F21" s="20">
        <f>IF(AND(ISNUMBER(B21),ISNUMBER(C21),ISNUMBER(E21),N(C21)&gt;0),B21/C21*E21,0)</f>
        <v/>
      </c>
      <c r="G21" s="21">
        <f>IF(ISNUMBER(E21),E21*$B$54,"")</f>
        <v/>
      </c>
    </row>
    <row r="22">
      <c r="A22" s="10" t="inlineStr">
        <is>
          <t>Suma składników na partię</t>
        </is>
      </c>
      <c r="F22" s="22">
        <f>SUM(F10:F21)</f>
        <v/>
      </c>
    </row>
    <row r="24">
      <c r="A24" s="16" t="inlineStr">
        <is>
          <t>2. Opakowanie i etykieta (na jeden baton)</t>
        </is>
      </c>
      <c r="B24" s="17" t="n"/>
      <c r="C24" s="17" t="n"/>
      <c r="D24" s="17" t="n"/>
      <c r="E24" s="17" t="n"/>
      <c r="F24" s="17" t="n"/>
      <c r="G24" s="17" t="n"/>
    </row>
    <row r="25" ht="32" customHeight="1">
      <c r="A25" s="18" t="inlineStr">
        <is>
          <t>Element</t>
        </is>
      </c>
      <c r="B25" s="18" t="inlineStr">
        <is>
          <t>Cena paczki (zł)</t>
        </is>
      </c>
      <c r="C25" s="18" t="inlineStr">
        <is>
          <t>Sztuk w paczce</t>
        </is>
      </c>
      <c r="D25" s="18" t="inlineStr"/>
      <c r="E25" s="18" t="inlineStr">
        <is>
          <t>Ile na 1 baton</t>
        </is>
      </c>
      <c r="F25" s="18" t="inlineStr">
        <is>
          <t>Koszt na baton (zł)</t>
        </is>
      </c>
      <c r="G25" s="18" t="inlineStr"/>
    </row>
    <row r="26">
      <c r="A26" s="11" t="n"/>
      <c r="B26" s="19" t="n"/>
      <c r="C26" s="14" t="n"/>
      <c r="E26" s="14" t="n">
        <v>1</v>
      </c>
      <c r="F26" s="20">
        <f>IF(AND(ISNUMBER(B26),ISNUMBER(C26),N(C26)&gt;0),B26/C26*N(E26),0)</f>
        <v/>
      </c>
    </row>
    <row r="27">
      <c r="A27" s="11" t="n"/>
      <c r="B27" s="19" t="n"/>
      <c r="C27" s="14" t="n"/>
      <c r="E27" s="14" t="n">
        <v>1</v>
      </c>
      <c r="F27" s="20">
        <f>IF(AND(ISNUMBER(B27),ISNUMBER(C27),N(C27)&gt;0),B27/C27*N(E27),0)</f>
        <v/>
      </c>
    </row>
    <row r="28">
      <c r="A28" s="11" t="n"/>
      <c r="B28" s="19" t="n"/>
      <c r="C28" s="14" t="n"/>
      <c r="E28" s="14" t="n">
        <v>1</v>
      </c>
      <c r="F28" s="20">
        <f>IF(AND(ISNUMBER(B28),ISNUMBER(C28),N(C28)&gt;0),B28/C28*N(E28),0)</f>
        <v/>
      </c>
    </row>
    <row r="29">
      <c r="A29" s="10" t="inlineStr">
        <is>
          <t>Opakowanie na jeden baton</t>
        </is>
      </c>
      <c r="F29" s="22">
        <f>SUM(F26:F28)</f>
        <v/>
      </c>
    </row>
    <row r="31">
      <c r="A31" s="10" t="inlineStr">
        <is>
          <t>Inne koszty partii (zł): papier do pieczenia, prąd, dojazd…</t>
        </is>
      </c>
      <c r="B31" s="19" t="n"/>
    </row>
    <row r="33">
      <c r="A33" s="16" t="inlineStr">
        <is>
          <t>3. Koszt i cena</t>
        </is>
      </c>
      <c r="B33" s="17" t="n"/>
      <c r="C33" s="17" t="n"/>
      <c r="D33" s="17" t="n"/>
      <c r="E33" s="17" t="n"/>
      <c r="F33" s="17" t="n"/>
      <c r="G33" s="17" t="n"/>
    </row>
    <row r="34">
      <c r="A34" s="15" t="inlineStr">
        <is>
          <t>Koszt składników na baton</t>
        </is>
      </c>
      <c r="B34" s="20">
        <f>IF(N(B5)&gt;0,F22/B5,0)</f>
        <v/>
      </c>
    </row>
    <row r="35">
      <c r="A35" s="15" t="inlineStr">
        <is>
          <t>Koszt opakowania na baton</t>
        </is>
      </c>
      <c r="B35" s="20">
        <f>F29</f>
        <v/>
      </c>
    </row>
    <row r="36">
      <c r="A36" s="15" t="inlineStr">
        <is>
          <t>Inne koszty na baton</t>
        </is>
      </c>
      <c r="B36" s="20">
        <f>IF(N(B5)&gt;0,N(B31)/B5,0)</f>
        <v/>
      </c>
    </row>
    <row r="37">
      <c r="A37" s="10" t="inlineStr">
        <is>
          <t>KOSZT JEDNEGO BATONA</t>
        </is>
      </c>
      <c r="B37" s="22">
        <f>B34+B35+B36</f>
        <v/>
      </c>
    </row>
    <row r="38">
      <c r="A38" s="10" t="inlineStr">
        <is>
          <t>Twój narzut na koszt (%)</t>
        </is>
      </c>
      <c r="B38" s="23" t="n">
        <v>1.2</v>
      </c>
      <c r="C38" s="24" t="inlineStr">
        <is>
          <t>np. 100% = cena to podwójny koszt</t>
        </is>
      </c>
    </row>
    <row r="39">
      <c r="A39" s="15" t="inlineStr">
        <is>
          <t>Cena wyliczona (koszt + narzut)</t>
        </is>
      </c>
      <c r="B39" s="20">
        <f>B37*(1+N(B38))</f>
        <v/>
      </c>
    </row>
    <row r="40">
      <c r="A40" s="10" t="inlineStr">
        <is>
          <t>Cena sugerowana (w górę do 0,50 zł)</t>
        </is>
      </c>
      <c r="B40" s="22">
        <f>ROUNDUP(B39*2,0)/2</f>
        <v/>
      </c>
    </row>
    <row r="41">
      <c r="A41" s="15" t="inlineStr">
        <is>
          <t>Twoja cena (opcjonalnie – zostaw puste, by użyć sugerowanej)</t>
        </is>
      </c>
      <c r="B41" s="19" t="n"/>
    </row>
    <row r="42">
      <c r="A42" s="10" t="inlineStr">
        <is>
          <t>Cena do obliczeń</t>
        </is>
      </c>
      <c r="B42" s="20">
        <f>IF(ISNUMBER(B41),B41,B40)</f>
        <v/>
      </c>
    </row>
    <row r="44">
      <c r="A44" s="16" t="inlineStr">
        <is>
          <t>4. Zysk</t>
        </is>
      </c>
      <c r="B44" s="17" t="n"/>
      <c r="C44" s="17" t="n"/>
      <c r="D44" s="17" t="n"/>
      <c r="E44" s="17" t="n"/>
      <c r="F44" s="17" t="n"/>
      <c r="G44" s="17" t="n"/>
    </row>
    <row r="45">
      <c r="A45" s="10" t="inlineStr">
        <is>
          <t>Zysk na jednym batonie</t>
        </is>
      </c>
      <c r="B45" s="22">
        <f>B42-B37</f>
        <v/>
      </c>
      <c r="C45" s="25">
        <f>IF(B45&lt;0,"UWAGA: cena poniżej kosztu!","")</f>
        <v/>
      </c>
    </row>
    <row r="46">
      <c r="A46" s="15" t="inlineStr">
        <is>
          <t>Marża w cenie (jaka część ceny to zysk)</t>
        </is>
      </c>
      <c r="B46" s="26">
        <f>IF(B42&gt;0,B45/B42,0)</f>
        <v/>
      </c>
    </row>
    <row r="47">
      <c r="A47" s="15" t="inlineStr">
        <is>
          <t>Koszt całej partii</t>
        </is>
      </c>
      <c r="B47" s="20">
        <f>B37*N(B5)</f>
        <v/>
      </c>
    </row>
    <row r="48">
      <c r="A48" s="15" t="inlineStr">
        <is>
          <t>Przychód z partii (gdy sprzedasz wszystkie)</t>
        </is>
      </c>
      <c r="B48" s="20">
        <f>B42*N(B5)</f>
        <v/>
      </c>
    </row>
    <row r="49">
      <c r="A49" s="10" t="inlineStr">
        <is>
          <t>ZYSK Z PARTII</t>
        </is>
      </c>
      <c r="B49" s="22">
        <f>B48-B47</f>
        <v/>
      </c>
    </row>
    <row r="50">
      <c r="A50" s="15" t="inlineStr">
        <is>
          <t>Ile batonów sprzedać, by pokryć koszt partii</t>
        </is>
      </c>
      <c r="B50" s="27">
        <f>IF(B42&gt;0,ROUNDUP(B47/B42,0),0)</f>
        <v/>
      </c>
    </row>
    <row r="51">
      <c r="A51" s="15" t="inlineStr">
        <is>
          <t>Twój czas pracy na partię (godz., bez tężenia)</t>
        </is>
      </c>
      <c r="B51" s="14" t="n"/>
    </row>
    <row r="52">
      <c r="A52" s="15" t="inlineStr">
        <is>
          <t>Zysk na godzinę Twojej pracy</t>
        </is>
      </c>
      <c r="B52" s="20">
        <f>IF(N(B51)&gt;0,B49/B51,0)</f>
        <v/>
      </c>
    </row>
    <row r="53">
      <c r="A53" s="16" t="inlineStr">
        <is>
          <t>5. Zamówienia i zestaw</t>
        </is>
      </c>
      <c r="B53" s="17" t="n"/>
      <c r="C53" s="17" t="n"/>
      <c r="D53" s="17" t="n"/>
      <c r="E53" s="17" t="n"/>
      <c r="F53" s="17" t="n"/>
      <c r="G53" s="17" t="n"/>
    </row>
    <row r="54">
      <c r="A54" s="10" t="inlineStr">
        <is>
          <t>Ile partii zrobić? (wynik z pola niżej)</t>
        </is>
      </c>
      <c r="B54" s="28">
        <f>IF(AND(N(B5)&gt;0,N(B55)&gt;0),ROUNDUP(B55/B5,0),1)</f>
        <v/>
      </c>
      <c r="C54" s="24" t="inlineStr">
        <is>
          <t>Kolumna G w tabeli składników pokazuje, ile każdego składnika potrzebujesz.</t>
        </is>
      </c>
    </row>
    <row r="55">
      <c r="A55" s="15" t="inlineStr">
        <is>
          <t>Ile batonów masz w zamówieniach (z zapasem)</t>
        </is>
      </c>
      <c r="B55" s="14" t="n"/>
    </row>
    <row r="57">
      <c r="A57" s="15" t="inlineStr">
        <is>
          <t>Liczba batonów w zestawie</t>
        </is>
      </c>
      <c r="B57" s="14" t="n"/>
    </row>
    <row r="58">
      <c r="A58" s="15" t="inlineStr">
        <is>
          <t>Rabat na zestaw (%)</t>
        </is>
      </c>
      <c r="B58" s="23" t="n">
        <v>0</v>
      </c>
    </row>
    <row r="59">
      <c r="A59" s="10" t="inlineStr">
        <is>
          <t>Cena zestawu (w górę do 0,50 zł)</t>
        </is>
      </c>
      <c r="B59" s="22">
        <f>ROUNDUP(B42*N(B57)*(1-N(B58))*2,0)/2</f>
        <v/>
      </c>
    </row>
    <row r="60">
      <c r="A60" s="15" t="inlineStr">
        <is>
          <t>Zysk na zestawie</t>
        </is>
      </c>
      <c r="B60" s="20">
        <f>B59-B37*N(B57)</f>
        <v/>
      </c>
      <c r="C60" s="25">
        <f>IF(B60&lt;0,"UWAGA: zestaw poniżej kosztu!","")</f>
        <v/>
      </c>
    </row>
  </sheetData>
  <mergeCells count="3">
    <mergeCell ref="A2:G2"/>
    <mergeCell ref="A1:G1"/>
    <mergeCell ref="B4:D4"/>
  </mergeCells>
  <dataValidations count="1">
    <dataValidation sqref="B5 B6 B10 B11 B12 B13 B14 B15 B16 B17 B18 B19 B20 B21 B26 B27 B28 B31 B38 B41 B51 B55 B57 B58 C10 C11 C12 C13 C14 C15 C16 C17 C18 C19 C20 C21 C26 C27 C28 E10 E11 E12 E13 E14 E15 E16 E17 E18 E19 E20 E21 E26 E27 E28" showDropDown="0" showInputMessage="0" showErrorMessage="1" allowBlank="1" errorTitle="Liczba" error="Wpisz liczbę większą lub równą 0." type="decimal" operator="greaterThanOrEqual">
      <formula1>0</formula1>
    </dataValidation>
  </dataValidations>
  <pageMargins left="0.75" right="0.75" top="1" bottom="1" header="0.5" footer="0.5"/>
  <pageSetup orientation="portrait" fitToHeight="0" fitToWidth="1"/>
</worksheet>
</file>

<file path=xl/worksheets/sheet4.xml><?xml version="1.0" encoding="utf-8"?>
<worksheet xmlns="http://schemas.openxmlformats.org/spreadsheetml/2006/main">
  <sheetPr>
    <outlinePr summaryBelow="1" summaryRight="1"/>
    <pageSetUpPr fitToPage="1"/>
  </sheetPr>
  <dimension ref="A1:G60"/>
  <sheetViews>
    <sheetView showGridLines="0" workbookViewId="0">
      <pane ySplit="3" topLeftCell="A4" activePane="bottomLeft" state="frozen"/>
      <selection pane="bottomLeft" activeCell="A1" sqref="A1"/>
    </sheetView>
  </sheetViews>
  <sheetFormatPr baseColWidth="8" defaultRowHeight="15"/>
  <cols>
    <col width="38" customWidth="1" min="1" max="1"/>
    <col width="17" customWidth="1" min="2" max="2"/>
    <col width="17" customWidth="1" min="3" max="3"/>
    <col width="12" customWidth="1" min="4" max="4"/>
    <col width="16" customWidth="1" min="5" max="5"/>
    <col width="17" customWidth="1" min="6" max="6"/>
    <col width="18" customWidth="1" min="7" max="7"/>
  </cols>
  <sheetData>
    <row r="1" ht="34" customHeight="1">
      <c r="A1" s="8" t="inlineStr">
        <is>
          <t>Kalkulator Ceny w zł</t>
        </is>
      </c>
    </row>
    <row r="2">
      <c r="A2" s="9" t="inlineStr">
        <is>
          <t>Twój przepis · wypełnij żółte pola</t>
        </is>
      </c>
    </row>
    <row r="4">
      <c r="A4" s="10" t="inlineStr">
        <is>
          <t>Nazwa przepisu</t>
        </is>
      </c>
      <c r="B4" s="11" t="n"/>
      <c r="C4" s="12" t="n"/>
      <c r="D4" s="13" t="n"/>
    </row>
    <row r="5">
      <c r="A5" s="10" t="inlineStr">
        <is>
          <t>Liczba batonów z jednej partii</t>
        </is>
      </c>
      <c r="B5" s="14" t="n"/>
    </row>
    <row r="6">
      <c r="A6" s="15" t="inlineStr">
        <is>
          <t>Waga jednego batona (g) – na etykietę</t>
        </is>
      </c>
      <c r="B6" s="14" t="n"/>
    </row>
    <row r="8">
      <c r="A8" s="16" t="inlineStr">
        <is>
          <t>1. Składniki na jedną partię</t>
        </is>
      </c>
      <c r="B8" s="17" t="n"/>
      <c r="C8" s="17" t="n"/>
      <c r="D8" s="17" t="n"/>
      <c r="E8" s="17" t="n"/>
      <c r="F8" s="17" t="n"/>
      <c r="G8" s="17" t="n"/>
    </row>
    <row r="9" ht="32" customHeight="1">
      <c r="A9" s="18" t="inlineStr">
        <is>
          <t>Składnik</t>
        </is>
      </c>
      <c r="B9" s="18" t="inlineStr">
        <is>
          <t>Cena opakowania (zł)</t>
        </is>
      </c>
      <c r="C9" s="18" t="inlineStr">
        <is>
          <t>Wielkość opakowania</t>
        </is>
      </c>
      <c r="D9" s="18" t="inlineStr">
        <is>
          <t>Jednostka</t>
        </is>
      </c>
      <c r="E9" s="18" t="inlineStr">
        <is>
          <t>Zużyte w partii</t>
        </is>
      </c>
      <c r="F9" s="18" t="inlineStr">
        <is>
          <t>Koszt w partii (zł)</t>
        </is>
      </c>
      <c r="G9" s="18" t="inlineStr">
        <is>
          <t>Na zamówienie (patrz pkt 5)</t>
        </is>
      </c>
    </row>
    <row r="10">
      <c r="A10" s="11" t="n"/>
      <c r="B10" s="19" t="n"/>
      <c r="C10" s="14" t="n"/>
      <c r="D10" s="11" t="n"/>
      <c r="E10" s="14" t="n"/>
      <c r="F10" s="20">
        <f>IF(AND(ISNUMBER(B10),ISNUMBER(C10),ISNUMBER(E10),N(C10)&gt;0),B10/C10*E10,0)</f>
        <v/>
      </c>
      <c r="G10" s="21">
        <f>IF(ISNUMBER(E10),E10*$B$54,"")</f>
        <v/>
      </c>
    </row>
    <row r="11">
      <c r="A11" s="11" t="n"/>
      <c r="B11" s="19" t="n"/>
      <c r="C11" s="14" t="n"/>
      <c r="D11" s="11" t="n"/>
      <c r="E11" s="14" t="n"/>
      <c r="F11" s="20">
        <f>IF(AND(ISNUMBER(B11),ISNUMBER(C11),ISNUMBER(E11),N(C11)&gt;0),B11/C11*E11,0)</f>
        <v/>
      </c>
      <c r="G11" s="21">
        <f>IF(ISNUMBER(E11),E11*$B$54,"")</f>
        <v/>
      </c>
    </row>
    <row r="12">
      <c r="A12" s="11" t="n"/>
      <c r="B12" s="19" t="n"/>
      <c r="C12" s="14" t="n"/>
      <c r="D12" s="11" t="n"/>
      <c r="E12" s="14" t="n"/>
      <c r="F12" s="20">
        <f>IF(AND(ISNUMBER(B12),ISNUMBER(C12),ISNUMBER(E12),N(C12)&gt;0),B12/C12*E12,0)</f>
        <v/>
      </c>
      <c r="G12" s="21">
        <f>IF(ISNUMBER(E12),E12*$B$54,"")</f>
        <v/>
      </c>
    </row>
    <row r="13">
      <c r="A13" s="11" t="n"/>
      <c r="B13" s="19" t="n"/>
      <c r="C13" s="14" t="n"/>
      <c r="D13" s="11" t="n"/>
      <c r="E13" s="14" t="n"/>
      <c r="F13" s="20">
        <f>IF(AND(ISNUMBER(B13),ISNUMBER(C13),ISNUMBER(E13),N(C13)&gt;0),B13/C13*E13,0)</f>
        <v/>
      </c>
      <c r="G13" s="21">
        <f>IF(ISNUMBER(E13),E13*$B$54,"")</f>
        <v/>
      </c>
    </row>
    <row r="14">
      <c r="A14" s="11" t="n"/>
      <c r="B14" s="19" t="n"/>
      <c r="C14" s="14" t="n"/>
      <c r="D14" s="11" t="n"/>
      <c r="E14" s="14" t="n"/>
      <c r="F14" s="20">
        <f>IF(AND(ISNUMBER(B14),ISNUMBER(C14),ISNUMBER(E14),N(C14)&gt;0),B14/C14*E14,0)</f>
        <v/>
      </c>
      <c r="G14" s="21">
        <f>IF(ISNUMBER(E14),E14*$B$54,"")</f>
        <v/>
      </c>
    </row>
    <row r="15">
      <c r="A15" s="11" t="n"/>
      <c r="B15" s="19" t="n"/>
      <c r="C15" s="14" t="n"/>
      <c r="D15" s="11" t="n"/>
      <c r="E15" s="14" t="n"/>
      <c r="F15" s="20">
        <f>IF(AND(ISNUMBER(B15),ISNUMBER(C15),ISNUMBER(E15),N(C15)&gt;0),B15/C15*E15,0)</f>
        <v/>
      </c>
      <c r="G15" s="21">
        <f>IF(ISNUMBER(E15),E15*$B$54,"")</f>
        <v/>
      </c>
    </row>
    <row r="16">
      <c r="A16" s="11" t="n"/>
      <c r="B16" s="19" t="n"/>
      <c r="C16" s="14" t="n"/>
      <c r="D16" s="11" t="n"/>
      <c r="E16" s="14" t="n"/>
      <c r="F16" s="20">
        <f>IF(AND(ISNUMBER(B16),ISNUMBER(C16),ISNUMBER(E16),N(C16)&gt;0),B16/C16*E16,0)</f>
        <v/>
      </c>
      <c r="G16" s="21">
        <f>IF(ISNUMBER(E16),E16*$B$54,"")</f>
        <v/>
      </c>
    </row>
    <row r="17">
      <c r="A17" s="11" t="n"/>
      <c r="B17" s="19" t="n"/>
      <c r="C17" s="14" t="n"/>
      <c r="D17" s="11" t="n"/>
      <c r="E17" s="14" t="n"/>
      <c r="F17" s="20">
        <f>IF(AND(ISNUMBER(B17),ISNUMBER(C17),ISNUMBER(E17),N(C17)&gt;0),B17/C17*E17,0)</f>
        <v/>
      </c>
      <c r="G17" s="21">
        <f>IF(ISNUMBER(E17),E17*$B$54,"")</f>
        <v/>
      </c>
    </row>
    <row r="18">
      <c r="A18" s="11" t="n"/>
      <c r="B18" s="19" t="n"/>
      <c r="C18" s="14" t="n"/>
      <c r="D18" s="11" t="n"/>
      <c r="E18" s="14" t="n"/>
      <c r="F18" s="20">
        <f>IF(AND(ISNUMBER(B18),ISNUMBER(C18),ISNUMBER(E18),N(C18)&gt;0),B18/C18*E18,0)</f>
        <v/>
      </c>
      <c r="G18" s="21">
        <f>IF(ISNUMBER(E18),E18*$B$54,"")</f>
        <v/>
      </c>
    </row>
    <row r="19">
      <c r="A19" s="11" t="n"/>
      <c r="B19" s="19" t="n"/>
      <c r="C19" s="14" t="n"/>
      <c r="D19" s="11" t="n"/>
      <c r="E19" s="14" t="n"/>
      <c r="F19" s="20">
        <f>IF(AND(ISNUMBER(B19),ISNUMBER(C19),ISNUMBER(E19),N(C19)&gt;0),B19/C19*E19,0)</f>
        <v/>
      </c>
      <c r="G19" s="21">
        <f>IF(ISNUMBER(E19),E19*$B$54,"")</f>
        <v/>
      </c>
    </row>
    <row r="20">
      <c r="A20" s="11" t="n"/>
      <c r="B20" s="19" t="n"/>
      <c r="C20" s="14" t="n"/>
      <c r="D20" s="11" t="n"/>
      <c r="E20" s="14" t="n"/>
      <c r="F20" s="20">
        <f>IF(AND(ISNUMBER(B20),ISNUMBER(C20),ISNUMBER(E20),N(C20)&gt;0),B20/C20*E20,0)</f>
        <v/>
      </c>
      <c r="G20" s="21">
        <f>IF(ISNUMBER(E20),E20*$B$54,"")</f>
        <v/>
      </c>
    </row>
    <row r="21">
      <c r="A21" s="11" t="n"/>
      <c r="B21" s="19" t="n"/>
      <c r="C21" s="14" t="n"/>
      <c r="D21" s="11" t="n"/>
      <c r="E21" s="14" t="n"/>
      <c r="F21" s="20">
        <f>IF(AND(ISNUMBER(B21),ISNUMBER(C21),ISNUMBER(E21),N(C21)&gt;0),B21/C21*E21,0)</f>
        <v/>
      </c>
      <c r="G21" s="21">
        <f>IF(ISNUMBER(E21),E21*$B$54,"")</f>
        <v/>
      </c>
    </row>
    <row r="22">
      <c r="A22" s="10" t="inlineStr">
        <is>
          <t>Suma składników na partię</t>
        </is>
      </c>
      <c r="F22" s="22">
        <f>SUM(F10:F21)</f>
        <v/>
      </c>
    </row>
    <row r="24">
      <c r="A24" s="16" t="inlineStr">
        <is>
          <t>2. Opakowanie i etykieta (na jeden baton)</t>
        </is>
      </c>
      <c r="B24" s="17" t="n"/>
      <c r="C24" s="17" t="n"/>
      <c r="D24" s="17" t="n"/>
      <c r="E24" s="17" t="n"/>
      <c r="F24" s="17" t="n"/>
      <c r="G24" s="17" t="n"/>
    </row>
    <row r="25" ht="32" customHeight="1">
      <c r="A25" s="18" t="inlineStr">
        <is>
          <t>Element</t>
        </is>
      </c>
      <c r="B25" s="18" t="inlineStr">
        <is>
          <t>Cena paczki (zł)</t>
        </is>
      </c>
      <c r="C25" s="18" t="inlineStr">
        <is>
          <t>Sztuk w paczce</t>
        </is>
      </c>
      <c r="D25" s="18" t="inlineStr"/>
      <c r="E25" s="18" t="inlineStr">
        <is>
          <t>Ile na 1 baton</t>
        </is>
      </c>
      <c r="F25" s="18" t="inlineStr">
        <is>
          <t>Koszt na baton (zł)</t>
        </is>
      </c>
      <c r="G25" s="18" t="inlineStr"/>
    </row>
    <row r="26">
      <c r="A26" s="11" t="n"/>
      <c r="B26" s="19" t="n"/>
      <c r="C26" s="14" t="n"/>
      <c r="E26" s="14" t="n">
        <v>1</v>
      </c>
      <c r="F26" s="20">
        <f>IF(AND(ISNUMBER(B26),ISNUMBER(C26),N(C26)&gt;0),B26/C26*N(E26),0)</f>
        <v/>
      </c>
    </row>
    <row r="27">
      <c r="A27" s="11" t="n"/>
      <c r="B27" s="19" t="n"/>
      <c r="C27" s="14" t="n"/>
      <c r="E27" s="14" t="n">
        <v>1</v>
      </c>
      <c r="F27" s="20">
        <f>IF(AND(ISNUMBER(B27),ISNUMBER(C27),N(C27)&gt;0),B27/C27*N(E27),0)</f>
        <v/>
      </c>
    </row>
    <row r="28">
      <c r="A28" s="11" t="n"/>
      <c r="B28" s="19" t="n"/>
      <c r="C28" s="14" t="n"/>
      <c r="E28" s="14" t="n">
        <v>1</v>
      </c>
      <c r="F28" s="20">
        <f>IF(AND(ISNUMBER(B28),ISNUMBER(C28),N(C28)&gt;0),B28/C28*N(E28),0)</f>
        <v/>
      </c>
    </row>
    <row r="29">
      <c r="A29" s="10" t="inlineStr">
        <is>
          <t>Opakowanie na jeden baton</t>
        </is>
      </c>
      <c r="F29" s="22">
        <f>SUM(F26:F28)</f>
        <v/>
      </c>
    </row>
    <row r="31">
      <c r="A31" s="10" t="inlineStr">
        <is>
          <t>Inne koszty partii (zł): papier do pieczenia, prąd, dojazd…</t>
        </is>
      </c>
      <c r="B31" s="19" t="n"/>
    </row>
    <row r="33">
      <c r="A33" s="16" t="inlineStr">
        <is>
          <t>3. Koszt i cena</t>
        </is>
      </c>
      <c r="B33" s="17" t="n"/>
      <c r="C33" s="17" t="n"/>
      <c r="D33" s="17" t="n"/>
      <c r="E33" s="17" t="n"/>
      <c r="F33" s="17" t="n"/>
      <c r="G33" s="17" t="n"/>
    </row>
    <row r="34">
      <c r="A34" s="15" t="inlineStr">
        <is>
          <t>Koszt składników na baton</t>
        </is>
      </c>
      <c r="B34" s="20">
        <f>IF(N(B5)&gt;0,F22/B5,0)</f>
        <v/>
      </c>
    </row>
    <row r="35">
      <c r="A35" s="15" t="inlineStr">
        <is>
          <t>Koszt opakowania na baton</t>
        </is>
      </c>
      <c r="B35" s="20">
        <f>F29</f>
        <v/>
      </c>
    </row>
    <row r="36">
      <c r="A36" s="15" t="inlineStr">
        <is>
          <t>Inne koszty na baton</t>
        </is>
      </c>
      <c r="B36" s="20">
        <f>IF(N(B5)&gt;0,N(B31)/B5,0)</f>
        <v/>
      </c>
    </row>
    <row r="37">
      <c r="A37" s="10" t="inlineStr">
        <is>
          <t>KOSZT JEDNEGO BATONA</t>
        </is>
      </c>
      <c r="B37" s="22">
        <f>B34+B35+B36</f>
        <v/>
      </c>
    </row>
    <row r="38">
      <c r="A38" s="10" t="inlineStr">
        <is>
          <t>Twój narzut na koszt (%)</t>
        </is>
      </c>
      <c r="B38" s="23" t="n">
        <v>1.2</v>
      </c>
      <c r="C38" s="24" t="inlineStr">
        <is>
          <t>np. 100% = cena to podwójny koszt</t>
        </is>
      </c>
    </row>
    <row r="39">
      <c r="A39" s="15" t="inlineStr">
        <is>
          <t>Cena wyliczona (koszt + narzut)</t>
        </is>
      </c>
      <c r="B39" s="20">
        <f>B37*(1+N(B38))</f>
        <v/>
      </c>
    </row>
    <row r="40">
      <c r="A40" s="10" t="inlineStr">
        <is>
          <t>Cena sugerowana (w górę do 0,50 zł)</t>
        </is>
      </c>
      <c r="B40" s="22">
        <f>ROUNDUP(B39*2,0)/2</f>
        <v/>
      </c>
    </row>
    <row r="41">
      <c r="A41" s="15" t="inlineStr">
        <is>
          <t>Twoja cena (opcjonalnie – zostaw puste, by użyć sugerowanej)</t>
        </is>
      </c>
      <c r="B41" s="19" t="n"/>
    </row>
    <row r="42">
      <c r="A42" s="10" t="inlineStr">
        <is>
          <t>Cena do obliczeń</t>
        </is>
      </c>
      <c r="B42" s="20">
        <f>IF(ISNUMBER(B41),B41,B40)</f>
        <v/>
      </c>
    </row>
    <row r="44">
      <c r="A44" s="16" t="inlineStr">
        <is>
          <t>4. Zysk</t>
        </is>
      </c>
      <c r="B44" s="17" t="n"/>
      <c r="C44" s="17" t="n"/>
      <c r="D44" s="17" t="n"/>
      <c r="E44" s="17" t="n"/>
      <c r="F44" s="17" t="n"/>
      <c r="G44" s="17" t="n"/>
    </row>
    <row r="45">
      <c r="A45" s="10" t="inlineStr">
        <is>
          <t>Zysk na jednym batonie</t>
        </is>
      </c>
      <c r="B45" s="22">
        <f>B42-B37</f>
        <v/>
      </c>
      <c r="C45" s="25">
        <f>IF(B45&lt;0,"UWAGA: cena poniżej kosztu!","")</f>
        <v/>
      </c>
    </row>
    <row r="46">
      <c r="A46" s="15" t="inlineStr">
        <is>
          <t>Marża w cenie (jaka część ceny to zysk)</t>
        </is>
      </c>
      <c r="B46" s="26">
        <f>IF(B42&gt;0,B45/B42,0)</f>
        <v/>
      </c>
    </row>
    <row r="47">
      <c r="A47" s="15" t="inlineStr">
        <is>
          <t>Koszt całej partii</t>
        </is>
      </c>
      <c r="B47" s="20">
        <f>B37*N(B5)</f>
        <v/>
      </c>
    </row>
    <row r="48">
      <c r="A48" s="15" t="inlineStr">
        <is>
          <t>Przychód z partii (gdy sprzedasz wszystkie)</t>
        </is>
      </c>
      <c r="B48" s="20">
        <f>B42*N(B5)</f>
        <v/>
      </c>
    </row>
    <row r="49">
      <c r="A49" s="10" t="inlineStr">
        <is>
          <t>ZYSK Z PARTII</t>
        </is>
      </c>
      <c r="B49" s="22">
        <f>B48-B47</f>
        <v/>
      </c>
    </row>
    <row r="50">
      <c r="A50" s="15" t="inlineStr">
        <is>
          <t>Ile batonów sprzedać, by pokryć koszt partii</t>
        </is>
      </c>
      <c r="B50" s="27">
        <f>IF(B42&gt;0,ROUNDUP(B47/B42,0),0)</f>
        <v/>
      </c>
    </row>
    <row r="51">
      <c r="A51" s="15" t="inlineStr">
        <is>
          <t>Twój czas pracy na partię (godz., bez tężenia)</t>
        </is>
      </c>
      <c r="B51" s="14" t="n"/>
    </row>
    <row r="52">
      <c r="A52" s="15" t="inlineStr">
        <is>
          <t>Zysk na godzinę Twojej pracy</t>
        </is>
      </c>
      <c r="B52" s="20">
        <f>IF(N(B51)&gt;0,B49/B51,0)</f>
        <v/>
      </c>
    </row>
    <row r="53">
      <c r="A53" s="16" t="inlineStr">
        <is>
          <t>5. Zamówienia i zestaw</t>
        </is>
      </c>
      <c r="B53" s="17" t="n"/>
      <c r="C53" s="17" t="n"/>
      <c r="D53" s="17" t="n"/>
      <c r="E53" s="17" t="n"/>
      <c r="F53" s="17" t="n"/>
      <c r="G53" s="17" t="n"/>
    </row>
    <row r="54">
      <c r="A54" s="10" t="inlineStr">
        <is>
          <t>Ile partii zrobić? (wynik z pola niżej)</t>
        </is>
      </c>
      <c r="B54" s="28">
        <f>IF(AND(N(B5)&gt;0,N(B55)&gt;0),ROUNDUP(B55/B5,0),1)</f>
        <v/>
      </c>
      <c r="C54" s="24" t="inlineStr">
        <is>
          <t>Kolumna G w tabeli składników pokazuje, ile każdego składnika potrzebujesz.</t>
        </is>
      </c>
    </row>
    <row r="55">
      <c r="A55" s="15" t="inlineStr">
        <is>
          <t>Ile batonów masz w zamówieniach (z zapasem)</t>
        </is>
      </c>
      <c r="B55" s="14" t="n"/>
    </row>
    <row r="57">
      <c r="A57" s="15" t="inlineStr">
        <is>
          <t>Liczba batonów w zestawie</t>
        </is>
      </c>
      <c r="B57" s="14" t="n"/>
    </row>
    <row r="58">
      <c r="A58" s="15" t="inlineStr">
        <is>
          <t>Rabat na zestaw (%)</t>
        </is>
      </c>
      <c r="B58" s="23" t="n">
        <v>0</v>
      </c>
    </row>
    <row r="59">
      <c r="A59" s="10" t="inlineStr">
        <is>
          <t>Cena zestawu (w górę do 0,50 zł)</t>
        </is>
      </c>
      <c r="B59" s="22">
        <f>ROUNDUP(B42*N(B57)*(1-N(B58))*2,0)/2</f>
        <v/>
      </c>
    </row>
    <row r="60">
      <c r="A60" s="15" t="inlineStr">
        <is>
          <t>Zysk na zestawie</t>
        </is>
      </c>
      <c r="B60" s="20">
        <f>B59-B37*N(B57)</f>
        <v/>
      </c>
      <c r="C60" s="25">
        <f>IF(B60&lt;0,"UWAGA: zestaw poniżej kosztu!","")</f>
        <v/>
      </c>
    </row>
  </sheetData>
  <mergeCells count="3">
    <mergeCell ref="A2:G2"/>
    <mergeCell ref="A1:G1"/>
    <mergeCell ref="B4:D4"/>
  </mergeCells>
  <dataValidations count="1">
    <dataValidation sqref="B5 B6 B10 B11 B12 B13 B14 B15 B16 B17 B18 B19 B20 B21 B26 B27 B28 B31 B38 B41 B51 B55 B57 B58 C10 C11 C12 C13 C14 C15 C16 C17 C18 C19 C20 C21 C26 C27 C28 E10 E11 E12 E13 E14 E15 E16 E17 E18 E19 E20 E21 E26 E27 E28" showDropDown="0" showInputMessage="0" showErrorMessage="1" allowBlank="1" errorTitle="Liczba" error="Wpisz liczbę większą lub równą 0." type="decimal" operator="greaterThanOrEqual">
      <formula1>0</formula1>
    </dataValidation>
  </dataValidations>
  <pageMargins left="0.75" right="0.75" top="1" bottom="1" header="0.5" footer="0.5"/>
  <pageSetup orientation="portrait" fitToHeight="0" fitToWidth="1"/>
</worksheet>
</file>

<file path=xl/worksheets/sheet5.xml><?xml version="1.0" encoding="utf-8"?>
<worksheet xmlns="http://schemas.openxmlformats.org/spreadsheetml/2006/main">
  <sheetPr>
    <outlinePr summaryBelow="1" summaryRight="1"/>
    <pageSetUpPr/>
  </sheetPr>
  <dimension ref="A1:F8"/>
  <sheetViews>
    <sheetView showGridLines="0" workbookViewId="0">
      <selection activeCell="A1" sqref="A1"/>
    </sheetView>
  </sheetViews>
  <sheetFormatPr baseColWidth="8" defaultRowHeight="15"/>
  <cols>
    <col width="18" customWidth="1" min="1" max="1"/>
    <col width="30" customWidth="1" min="2" max="2"/>
    <col width="16" customWidth="1" min="3" max="3"/>
    <col width="18" customWidth="1" min="4" max="4"/>
    <col width="18" customWidth="1" min="5" max="5"/>
    <col width="16" customWidth="1" min="6" max="6"/>
  </cols>
  <sheetData>
    <row r="1" ht="30" customHeight="1">
      <c r="A1" s="29" t="inlineStr">
        <is>
          <t>Porównanie przepisów</t>
        </is>
      </c>
    </row>
    <row r="3">
      <c r="A3" s="30" t="inlineStr">
        <is>
          <t>Arkusz</t>
        </is>
      </c>
      <c r="B3" s="30" t="inlineStr">
        <is>
          <t>Przepis</t>
        </is>
      </c>
      <c r="C3" s="30" t="inlineStr">
        <is>
          <t>Koszt batona</t>
        </is>
      </c>
      <c r="D3" s="30" t="inlineStr">
        <is>
          <t>Cena do obliczeń</t>
        </is>
      </c>
      <c r="E3" s="30" t="inlineStr">
        <is>
          <t>Zysk na batonie</t>
        </is>
      </c>
      <c r="F3" s="30" t="inlineStr">
        <is>
          <t>Zysk z partii</t>
        </is>
      </c>
    </row>
    <row r="4">
      <c r="A4" t="inlineStr">
        <is>
          <t>Kalkulator</t>
        </is>
      </c>
      <c r="B4">
        <f>IF('Kalkulator'!B4="","(pusty)",'Kalkulator'!B4)</f>
        <v/>
      </c>
      <c r="C4" s="20">
        <f>'Kalkulator'!B37</f>
        <v/>
      </c>
      <c r="D4" s="20">
        <f>'Kalkulator'!B42</f>
        <v/>
      </c>
      <c r="E4" s="20">
        <f>'Kalkulator'!B45</f>
        <v/>
      </c>
      <c r="F4" s="20">
        <f>'Kalkulator'!B49</f>
        <v/>
      </c>
    </row>
    <row r="5">
      <c r="A5" t="inlineStr">
        <is>
          <t>Mój przepis 2</t>
        </is>
      </c>
      <c r="B5">
        <f>IF('Mój przepis 2'!B4="","(pusty)",'Mój przepis 2'!B4)</f>
        <v/>
      </c>
      <c r="C5" s="20">
        <f>'Mój przepis 2'!B37</f>
        <v/>
      </c>
      <c r="D5" s="20">
        <f>'Mój przepis 2'!B42</f>
        <v/>
      </c>
      <c r="E5" s="20">
        <f>'Mój przepis 2'!B45</f>
        <v/>
      </c>
      <c r="F5" s="20">
        <f>'Mój przepis 2'!B49</f>
        <v/>
      </c>
    </row>
    <row r="6">
      <c r="A6" t="inlineStr">
        <is>
          <t>Mój przepis 3</t>
        </is>
      </c>
      <c r="B6">
        <f>IF('Mój przepis 3'!B4="","(pusty)",'Mój przepis 3'!B4)</f>
        <v/>
      </c>
      <c r="C6" s="20">
        <f>'Mój przepis 3'!B37</f>
        <v/>
      </c>
      <c r="D6" s="20">
        <f>'Mój przepis 3'!B42</f>
        <v/>
      </c>
      <c r="E6" s="20">
        <f>'Mój przepis 3'!B45</f>
        <v/>
      </c>
      <c r="F6" s="20">
        <f>'Mój przepis 3'!B49</f>
        <v/>
      </c>
    </row>
    <row r="8">
      <c r="A8" s="24" t="inlineStr">
        <is>
          <t>Arkusz tylko do odczytu – zmieniasz dane w arkuszach przepisów.</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2026-10-09T14:05:17Z</dcterms:created>
  <dcterms:modified xmlns:dcterms="http://purl.org/dc/terms/" xmlns:xsi="http://www.w3.org/2001/XMLSchema-instance" xsi:type="dcterms:W3CDTF">2026-10-09T14:05:18Z</dcterms:modified>
</cp:coreProperties>
</file>