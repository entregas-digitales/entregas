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MiNegocio\work\otos-pl\oto2\"/>
    </mc:Choice>
  </mc:AlternateContent>
  <xr:revisionPtr revIDLastSave="0" documentId="13_ncr:1_{984ED9FD-6C61-4CBC-892C-5523CD8BEC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kcja" sheetId="1" r:id="rId1"/>
    <sheet name="Kalkulator" sheetId="2" r:id="rId2"/>
    <sheet name="Przepisy" sheetId="3" r:id="rId3"/>
  </sheets>
  <definedNames>
    <definedName name="_xlnm.Print_Area" localSheetId="1">Kalkulator!$A$1:$L$27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2" l="1"/>
  <c r="N3" i="2"/>
  <c r="C21" i="2" s="1"/>
  <c r="E18" i="2" l="1"/>
  <c r="D21" i="2"/>
  <c r="I22" i="2"/>
  <c r="B14" i="2"/>
  <c r="L16" i="2"/>
  <c r="E21" i="2"/>
  <c r="C14" i="2"/>
  <c r="B17" i="2"/>
  <c r="L19" i="2"/>
  <c r="D14" i="2"/>
  <c r="I15" i="2"/>
  <c r="C17" i="2"/>
  <c r="B20" i="2"/>
  <c r="H20" i="2" s="1"/>
  <c r="L22" i="2"/>
  <c r="E14" i="2"/>
  <c r="I18" i="2"/>
  <c r="C23" i="2"/>
  <c r="L15" i="2"/>
  <c r="E20" i="2"/>
  <c r="D23" i="2"/>
  <c r="B16" i="2"/>
  <c r="L18" i="2"/>
  <c r="C16" i="2"/>
  <c r="C7" i="2"/>
  <c r="D16" i="2"/>
  <c r="I17" i="2"/>
  <c r="C19" i="2"/>
  <c r="B22" i="2"/>
  <c r="H22" i="2" s="1"/>
  <c r="L21" i="2"/>
  <c r="C8" i="2"/>
  <c r="C10" i="2" s="1"/>
  <c r="E16" i="2"/>
  <c r="D19" i="2"/>
  <c r="I20" i="2"/>
  <c r="C22" i="2"/>
  <c r="C11" i="2"/>
  <c r="C20" i="2"/>
  <c r="E17" i="2"/>
  <c r="D20" i="2"/>
  <c r="I21" i="2"/>
  <c r="E23" i="2"/>
  <c r="I14" i="2"/>
  <c r="B19" i="2"/>
  <c r="D8" i="2"/>
  <c r="D9" i="2" s="1"/>
  <c r="L14" i="2"/>
  <c r="E19" i="2"/>
  <c r="D22" i="2"/>
  <c r="I23" i="2"/>
  <c r="E22" i="2"/>
  <c r="L20" i="2"/>
  <c r="D17" i="2"/>
  <c r="B23" i="2"/>
  <c r="H23" i="2" s="1"/>
  <c r="B15" i="2"/>
  <c r="L17" i="2"/>
  <c r="C15" i="2"/>
  <c r="B18" i="2"/>
  <c r="D15" i="2"/>
  <c r="I16" i="2"/>
  <c r="C18" i="2"/>
  <c r="B21" i="2"/>
  <c r="H21" i="2" s="1"/>
  <c r="L23" i="2"/>
  <c r="E15" i="2"/>
  <c r="D18" i="2"/>
  <c r="I19" i="2"/>
  <c r="H17" i="2" l="1"/>
  <c r="H18" i="2"/>
  <c r="E10" i="2"/>
  <c r="F17" i="2"/>
  <c r="G14" i="2"/>
  <c r="G16" i="2"/>
  <c r="J21" i="2"/>
  <c r="F16" i="2"/>
  <c r="F14" i="2"/>
  <c r="J23" i="2"/>
  <c r="G22" i="2"/>
  <c r="J17" i="2"/>
  <c r="F15" i="2"/>
  <c r="G20" i="2"/>
  <c r="J15" i="2"/>
  <c r="J14" i="2"/>
  <c r="G15" i="2"/>
  <c r="H16" i="2"/>
  <c r="J19" i="2"/>
  <c r="H19" i="2"/>
  <c r="H15" i="2"/>
  <c r="F20" i="2"/>
  <c r="K20" i="2" s="1"/>
  <c r="G23" i="2"/>
  <c r="H14" i="2"/>
  <c r="F18" i="2"/>
  <c r="K18" i="2" s="1"/>
  <c r="G21" i="2"/>
  <c r="G18" i="2"/>
  <c r="F19" i="2"/>
  <c r="K19" i="2" s="1"/>
  <c r="J16" i="2"/>
  <c r="J22" i="2"/>
  <c r="G17" i="2"/>
  <c r="F22" i="2"/>
  <c r="K22" i="2" s="1"/>
  <c r="J20" i="2"/>
  <c r="F23" i="2"/>
  <c r="K23" i="2" s="1"/>
  <c r="G19" i="2"/>
  <c r="J18" i="2"/>
  <c r="F21" i="2"/>
  <c r="K21" i="2" s="1"/>
  <c r="K14" i="2" l="1"/>
  <c r="K17" i="2"/>
  <c r="J24" i="2"/>
  <c r="K16" i="2"/>
  <c r="K15" i="2"/>
</calcChain>
</file>

<file path=xl/sharedStrings.xml><?xml version="1.0" encoding="utf-8"?>
<sst xmlns="http://schemas.openxmlformats.org/spreadsheetml/2006/main" count="245" uniqueCount="155">
  <si>
    <t>Kalkulator Partii · Pogotowie Batonowe™</t>
  </si>
  <si>
    <t>Przelicza składniki przepisu na tyle sztuk, ile potrzebujesz. Bez liczenia na kartce.</t>
  </si>
  <si>
    <t>JAK UŻYWAĆ (3 kroki)</t>
  </si>
  <si>
    <t>1. Przejdź do arkusza „Kalkulator”.</t>
  </si>
  <si>
    <t>2. W żółtej komórce „Wybierz przepis” kliknij strzałkę i wybierz przepis z listy.</t>
  </si>
  <si>
    <t>3. W żółtej komórce „Ile sztuk?” wybierz 12, 24 albo 48. Potrzebujesz innej liczby? Wybierz „inna” i wpisz ją w żółtej komórce poniżej.</t>
  </si>
  <si>
    <t>Gotowe: w tabeli zobaczysz ilości na Twoją partię – w szklankach i łyżkach oraz w gramach (tam, gdzie przepis podaje gramy).</t>
  </si>
  <si>
    <t>CO OZNACZAJĄ KOLORY</t>
  </si>
  <si>
    <t>Żółte komórki – tu wpisujesz albo wybierasz. Wszystko inne liczy się samo (nie nadpisuj formuł).</t>
  </si>
  <si>
    <t>SKĄD SĄ DANE</t>
  </si>
  <si>
    <t>8 przepisów z „Biblii Batonów Proteinowych” z ilościami dokładnie takimi jak w książce (strona podana w arkuszu „Przepisy”).</t>
  </si>
  <si>
    <t>„Bazowa liczba sztuk” to dolna granica wydajności z książki (np. „ok. 10–12 batonów” → 10), żeby masy nie zabrakło.</t>
  </si>
  <si>
    <t>Jeśli Twoja forma daje inną liczbę sztuk, popraw ją w arkuszu „Przepisy” (żółta kolumna) – kalkulator od razu się przeliczy.</t>
  </si>
  <si>
    <t>Przy batonie z granolą książka nie podaje liczby sztuk – wpisane 12 to tylko przykład. Zrób jedną partię, policz batony i wpisz swoją liczbę.</t>
  </si>
  <si>
    <t>TWÓJ WŁASNY PRZEPIS</t>
  </si>
  <si>
    <t>W arkuszu „Przepisy” na dole jest blok „Mój przepis” (żółte komórki). Wpisz nazwę, bazową liczbę sztuk i do 10 składników – potem wybierz go w Kalkulatorze.</t>
  </si>
  <si>
    <t>Jednostki zapisuj tak jak w innych przepisach: szkl., łyż., łyżecz., szt. – wtedy działa przeliczanie na szklanki i łyżki.</t>
  </si>
  <si>
    <t>JAK CZYTAĆ WYNIKI</t>
  </si>
  <si>
    <t>Ilości są zaokrąglone do 1/4 (np. 1,25 szkl.). Sztuki (jajka, jabłka, marchewki) są zaokrąglone w górę do całych.</t>
  </si>
  <si>
    <t>Kolumna „W przybliżeniu” rozbija szklanki na „szklanki + łyżki”. Przyjęto przybliżenie 1 szklanka ≈ 16 łyżek.</t>
  </si>
  <si>
    <t>Gramy są dokładniejsze niż szklanki. Przy dużych zamówieniach waż – to najprostszy sposób na równą partię.</t>
  </si>
  <si>
    <t>Sól, przyprawy i dodatki „do smaku” dopraw na końcu, próbując masy – nie zawsze trzeba ich dokładnie tyle razy więcej.</t>
  </si>
  <si>
    <t>DUŻE PARTIE – 3 RZECZY, O KTÓRYCH WARTO PAMIĘTAĆ</t>
  </si>
  <si>
    <t>• Te same proporcje, ten sam docisk i ten sam czas tężenia – większa partia nie tężeje szybciej.</t>
  </si>
  <si>
    <t>• Jeśli wszystko nie mieści się w jednej misce, podziel masę na 2–3 porcje i każdą mieszaj osobno.</t>
  </si>
  <si>
    <t>• Pierwszą dużą partię zrób przed dużym zamówieniem, nie w noc przed odbiorem.</t>
  </si>
  <si>
    <t>NASTĘPNY KROK</t>
  </si>
  <si>
    <t>Wybierz przepis na najbliższe zamówienie, ustaw liczbę sztuk i wydrukuj arkusz „Kalkulator” albo przepisz ilości do Zeszytu partii.</t>
  </si>
  <si>
    <t>Listę zakupów na 12, 24 i 48 sztuk znajdziesz też w PDF „Lista Zakupów Hurtowych”.</t>
  </si>
  <si>
    <t>Kalkulator Partii</t>
  </si>
  <si>
    <t>Wybierz przepis i liczbę sztuk w żółtych komórkach. Reszta liczy się sama.</t>
  </si>
  <si>
    <t>1. Wybierz przepis:</t>
  </si>
  <si>
    <t>Batony owsiano-miodowe</t>
  </si>
  <si>
    <t>2. Ile sztuk potrzebujesz?</t>
  </si>
  <si>
    <t>3. Jeśli wybrałaś „inna” – wpisz liczbę:</t>
  </si>
  <si>
    <t>Z jednej partii z książki wychodzi:</t>
  </si>
  <si>
    <t>Kalkulator liczy od (bazowa liczba sztuk):</t>
  </si>
  <si>
    <t>Twoja partia (sztuk):</t>
  </si>
  <si>
    <t>Mnożnik przepisu:</t>
  </si>
  <si>
    <t>Wskazówka do przepisu:</t>
  </si>
  <si>
    <t>Lp</t>
  </si>
  <si>
    <t>Składnik</t>
  </si>
  <si>
    <t>W przepisie</t>
  </si>
  <si>
    <t>do</t>
  </si>
  <si>
    <t>Jednostka</t>
  </si>
  <si>
    <t>Na Twoją partię</t>
  </si>
  <si>
    <t>Gramy w przepisie</t>
  </si>
  <si>
    <t>Gramy na Twoją partię</t>
  </si>
  <si>
    <t>W przybliżeniu</t>
  </si>
  <si>
    <t>Uwagi</t>
  </si>
  <si>
    <t>Razem:</t>
  </si>
  <si>
    <t>g (tylko składniki z gramaturą)</t>
  </si>
  <si>
    <t>Zaokrąglenia: ilości do 1/4, sztuki w górę do całych. 1 szklanka ≈ 16 łyżek (przybliżenie). Sól i przyprawy dopraw do smaku.</t>
  </si>
  <si>
    <t>Większa partia nie tężeje szybciej: ten sam docisk i minimum 2 godziny w lodówce (45 minut w zamrażarce).</t>
  </si>
  <si>
    <t>Przepisy – dane do Kalkulatora</t>
  </si>
  <si>
    <t>Ilości tak jak w „Biblii Batonów Proteinowych”. Żółte komórki możesz zmieniać. Nie zmieniaj układu wierszy.</t>
  </si>
  <si>
    <t>Nr</t>
  </si>
  <si>
    <t>Przepis</t>
  </si>
  <si>
    <t>Wydajność w książce</t>
  </si>
  <si>
    <t>Bazowa liczba sztuk</t>
  </si>
  <si>
    <t>Co liczysz</t>
  </si>
  <si>
    <t>Źródło</t>
  </si>
  <si>
    <t>Uwaga</t>
  </si>
  <si>
    <t>ok. 10–12 batonów</t>
  </si>
  <si>
    <t>batonów</t>
  </si>
  <si>
    <t>Biblia, str. 21</t>
  </si>
  <si>
    <t>Najprostszy przepis – idealny na pierwszą partię.</t>
  </si>
  <si>
    <t>Batony daktylowo-orzechowe</t>
  </si>
  <si>
    <t>ok. 8–10 batonów</t>
  </si>
  <si>
    <t>Biblia, str. 22</t>
  </si>
  <si>
    <t>Bez miodu. Daktyle namocz 10 minut w ciepłej wodzie.</t>
  </si>
  <si>
    <t>Batony czekoladowo-orzechowe</t>
  </si>
  <si>
    <t>ok. 10 batonów</t>
  </si>
  <si>
    <t>Biblia, str. 23</t>
  </si>
  <si>
    <t>Masę odstaw na 5 minut przed dodaniem czekolady.</t>
  </si>
  <si>
    <t>Batony trzech tekstur</t>
  </si>
  <si>
    <t>Biblia, str. 24</t>
  </si>
  <si>
    <t>Preparowana quinoa zostawia powietrze – dociskaj szczególnie mocno.</t>
  </si>
  <si>
    <t>Zdrowe ciasteczka owsiano-jabłkowe</t>
  </si>
  <si>
    <t>ok. 14–16 ciasteczek</t>
  </si>
  <si>
    <t>ciasteczek</t>
  </si>
  <si>
    <t>Biblia, str. 28</t>
  </si>
  <si>
    <t>Piekarnik 180°C, 15–20 minut. Przy dużej partii piecz kilka blach po kolei.</t>
  </si>
  <si>
    <t>Zdrowy chlebek marchewkowy</t>
  </si>
  <si>
    <t>1 chlebek, ok. 8–10 kawałków</t>
  </si>
  <si>
    <t>kawałków</t>
  </si>
  <si>
    <t>Biblia, str. 29</t>
  </si>
  <si>
    <t>Licz całe chlebki: wybierz „inna” i wpisz 8, 16, 24… (1 chlebek = ok. 8 kawałków). Każdy chlebek piecz w osobnej keksówce, 180°C, 35–40 minut.</t>
  </si>
  <si>
    <t>Proste kulki mocy</t>
  </si>
  <si>
    <t>ok. 14–16 kulek</t>
  </si>
  <si>
    <t>kulek</t>
  </si>
  <si>
    <t>Biblia, str. 30</t>
  </si>
  <si>
    <t>Formuj wilgotnymi dłońmi; schłódź co najmniej 30 minut.</t>
  </si>
  <si>
    <t>Baton proteinowy z granolą (bonus)</t>
  </si>
  <si>
    <t>w książce nie podano liczby sztuk</t>
  </si>
  <si>
    <t>Biblia, str. 54–55</t>
  </si>
  <si>
    <t>To część 2 przepisu. Granolę (część 1) robisz osobno – jedna porcja wystarcza na kilka partii. Liczba 12 sztuk to tylko przykład: wpisz w arkuszu „Przepisy”, ile batonów wychodzi Tobie.</t>
  </si>
  <si>
    <t>Mój przepis</t>
  </si>
  <si>
    <t>wpisz</t>
  </si>
  <si>
    <t>sztuk</t>
  </si>
  <si>
    <t>Twój</t>
  </si>
  <si>
    <t>Twój własny przepis – uzupełnij żółte komórki.</t>
  </si>
  <si>
    <t>Składniki (10 wierszy na przepis)</t>
  </si>
  <si>
    <t>Nr przepisu</t>
  </si>
  <si>
    <t>Ilość</t>
  </si>
  <si>
    <t>Ilość do (zakres)</t>
  </si>
  <si>
    <t>Gramy (z książki)</t>
  </si>
  <si>
    <t>Płatki owsiane</t>
  </si>
  <si>
    <t>szkl.</t>
  </si>
  <si>
    <t>Miód</t>
  </si>
  <si>
    <t>Masło orzechowe</t>
  </si>
  <si>
    <t>Siekane orzechy</t>
  </si>
  <si>
    <t>Ekstrakt z wanilii</t>
  </si>
  <si>
    <t>łyżecz.</t>
  </si>
  <si>
    <t>Sól</t>
  </si>
  <si>
    <t>szczypta</t>
  </si>
  <si>
    <t>dopraw do smaku</t>
  </si>
  <si>
    <t>Daktyle bez pestek</t>
  </si>
  <si>
    <t>sprawdź, czy nie ma pestek</t>
  </si>
  <si>
    <t>Ciepła woda</t>
  </si>
  <si>
    <t>łyż.</t>
  </si>
  <si>
    <t>do namoczenia daktyli</t>
  </si>
  <si>
    <t>Rodzynki lub suszona żurawina</t>
  </si>
  <si>
    <t>Skórka z cytryny (ile cytryn)</t>
  </si>
  <si>
    <t>cytryny</t>
  </si>
  <si>
    <t>opcjonalnie</t>
  </si>
  <si>
    <t>Kawałki gorzkiej czekolady</t>
  </si>
  <si>
    <t>Siekane orzeszki ziemne</t>
  </si>
  <si>
    <t>Preparowana quinoa lub ryż</t>
  </si>
  <si>
    <t>Siekane migdały</t>
  </si>
  <si>
    <t>Siekane orzechy włoskie</t>
  </si>
  <si>
    <t>Rodzynki</t>
  </si>
  <si>
    <t>Cynamon</t>
  </si>
  <si>
    <t>Mąka pełnoziarnista</t>
  </si>
  <si>
    <t>Jabłko średnie, obrane i starte</t>
  </si>
  <si>
    <t>szt.</t>
  </si>
  <si>
    <t>zaokrąglone w górę</t>
  </si>
  <si>
    <t>Jajko</t>
  </si>
  <si>
    <t>Neutralny olej</t>
  </si>
  <si>
    <t>Płynny słodzik</t>
  </si>
  <si>
    <t>kropli</t>
  </si>
  <si>
    <t>lub 2 łyżki miodu na partię z książki</t>
  </si>
  <si>
    <t>Marchewki średnie, starte</t>
  </si>
  <si>
    <t>ok. 1 1/2 szkl. startej na chlebek; zaokrąglone w górę</t>
  </si>
  <si>
    <t>Jajka</t>
  </si>
  <si>
    <t>Proszek do pieczenia</t>
  </si>
  <si>
    <t>Kakao bez cukru</t>
  </si>
  <si>
    <t>tylko gdy masa za sucha</t>
  </si>
  <si>
    <t>Wiórki kokosowe</t>
  </si>
  <si>
    <t>do obtoczenia, opcjonalnie – ilość wg uznania</t>
  </si>
  <si>
    <t>Granola z części 1</t>
  </si>
  <si>
    <t>Suszona żurawina</t>
  </si>
  <si>
    <t>garść</t>
  </si>
  <si>
    <t>Nasiona chia</t>
  </si>
  <si>
    <t>gramy wg miar z innych przepisów książki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</si>
</sst>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×&quot;"/>
  </numFmts>
  <fonts count="7" x14ac:knownFonts="1">
    <font>
      <sz val="11"/>
      <color theme="1"/>
      <name val="Calibri"/>
      <family val="2"/>
      <scheme val="minor"/>
    </font>
    <font>
      <b/>
      <sz val="18"/>
      <name val="Calibri"/>
    </font>
    <font>
      <i/>
      <sz val="11"/>
      <color rgb="FF555555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color rgb="FFB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6B3"/>
      </patternFill>
    </fill>
    <fill>
      <patternFill patternType="solid">
        <fgColor rgb="FF0B0B0B"/>
      </patternFill>
    </fill>
    <fill>
      <patternFill patternType="solid">
        <fgColor rgb="FFF6F5F1"/>
      </patternFill>
    </fill>
    <fill>
      <patternFill patternType="solid">
        <fgColor rgb="FF4A6B00"/>
      </patternFill>
    </fill>
  </fills>
  <borders count="4">
    <border>
      <left/>
      <right/>
      <top/>
      <bottom/>
      <diagonal/>
    </border>
    <border>
      <left style="thin">
        <color rgb="FFD9D6CC"/>
      </left>
      <right style="thin">
        <color rgb="FFD9D6CC"/>
      </right>
      <top style="thin">
        <color rgb="FFD9D6CC"/>
      </top>
      <bottom style="thin">
        <color rgb="FFD9D6CC"/>
      </bottom>
      <diagonal/>
    </border>
    <border>
      <left/>
      <right/>
      <top style="thin">
        <color rgb="FFD9D6CC"/>
      </top>
      <bottom style="thin">
        <color rgb="FFD9D6CC"/>
      </bottom>
      <diagonal/>
    </border>
    <border>
      <left/>
      <right style="thin">
        <color rgb="FFD9D6CC"/>
      </right>
      <top style="thin">
        <color rgb="FFD9D6CC"/>
      </top>
      <bottom style="thin">
        <color rgb="FFD9D6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top" wrapText="1"/>
    </xf>
    <xf numFmtId="0" fontId="3" fillId="2" borderId="1" xfId="0" applyFont="1" applyFill="1" applyBorder="1"/>
    <xf numFmtId="164" fontId="5" fillId="0" borderId="0" xfId="0" applyNumberFormat="1" applyFont="1"/>
    <xf numFmtId="0" fontId="6" fillId="0" borderId="0" xfId="0" applyFont="1"/>
    <xf numFmtId="0" fontId="4" fillId="3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2" fontId="0" fillId="0" borderId="1" xfId="0" applyNumberFormat="1" applyBorder="1" applyAlignment="1">
      <alignment vertical="top"/>
    </xf>
    <xf numFmtId="12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12" fontId="0" fillId="4" borderId="1" xfId="0" applyNumberFormat="1" applyFill="1" applyBorder="1" applyAlignment="1">
      <alignment vertical="top"/>
    </xf>
    <xf numFmtId="12" fontId="3" fillId="4" borderId="1" xfId="0" applyNumberFormat="1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0" borderId="0" xfId="0" applyFont="1"/>
    <xf numFmtId="0" fontId="4" fillId="3" borderId="0" xfId="0" applyFont="1" applyFill="1" applyAlignment="1">
      <alignment vertical="top" wrapText="1"/>
    </xf>
    <xf numFmtId="0" fontId="0" fillId="2" borderId="1" xfId="0" applyFill="1" applyBorder="1" applyAlignment="1">
      <alignment vertical="top" wrapText="1"/>
    </xf>
    <xf numFmtId="12" fontId="0" fillId="0" borderId="1" xfId="0" applyNumberFormat="1" applyBorder="1" applyAlignment="1">
      <alignment vertical="top" wrapText="1"/>
    </xf>
    <xf numFmtId="12" fontId="0" fillId="4" borderId="1" xfId="0" applyNumberFormat="1" applyFill="1" applyBorder="1" applyAlignment="1">
      <alignment vertical="top" wrapText="1"/>
    </xf>
    <xf numFmtId="12" fontId="0" fillId="2" borderId="1" xfId="0" applyNumberFormat="1" applyFill="1" applyBorder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3" fillId="2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6"/>
  <sheetViews>
    <sheetView workbookViewId="0"/>
  </sheetViews>
  <sheetFormatPr baseColWidth="10" defaultColWidth="8.88671875" defaultRowHeight="14.4" x14ac:dyDescent="0.3"/>
  <cols>
    <col min="1" max="1" width="4" customWidth="1"/>
    <col min="2" max="2" width="110" customWidth="1"/>
  </cols>
  <sheetData>
    <row r="1" spans="2:2" ht="23.4" x14ac:dyDescent="0.3">
      <c r="B1" s="1" t="s">
        <v>0</v>
      </c>
    </row>
    <row r="2" spans="2:2" x14ac:dyDescent="0.3">
      <c r="B2" s="2" t="s">
        <v>1</v>
      </c>
    </row>
    <row r="3" spans="2:2" x14ac:dyDescent="0.3">
      <c r="B3" s="3"/>
    </row>
    <row r="4" spans="2:2" x14ac:dyDescent="0.3">
      <c r="B4" s="4" t="s">
        <v>2</v>
      </c>
    </row>
    <row r="5" spans="2:2" x14ac:dyDescent="0.3">
      <c r="B5" s="3" t="s">
        <v>3</v>
      </c>
    </row>
    <row r="6" spans="2:2" x14ac:dyDescent="0.3">
      <c r="B6" s="3" t="s">
        <v>4</v>
      </c>
    </row>
    <row r="7" spans="2:2" ht="28.8" x14ac:dyDescent="0.3">
      <c r="B7" s="3" t="s">
        <v>5</v>
      </c>
    </row>
    <row r="8" spans="2:2" x14ac:dyDescent="0.3">
      <c r="B8" s="3" t="s">
        <v>6</v>
      </c>
    </row>
    <row r="9" spans="2:2" x14ac:dyDescent="0.3">
      <c r="B9" s="3"/>
    </row>
    <row r="10" spans="2:2" x14ac:dyDescent="0.3">
      <c r="B10" s="4" t="s">
        <v>7</v>
      </c>
    </row>
    <row r="11" spans="2:2" x14ac:dyDescent="0.3">
      <c r="B11" s="5" t="s">
        <v>8</v>
      </c>
    </row>
    <row r="12" spans="2:2" x14ac:dyDescent="0.3">
      <c r="B12" s="3"/>
    </row>
    <row r="13" spans="2:2" x14ac:dyDescent="0.3">
      <c r="B13" s="4" t="s">
        <v>9</v>
      </c>
    </row>
    <row r="14" spans="2:2" x14ac:dyDescent="0.3">
      <c r="B14" s="3" t="s">
        <v>10</v>
      </c>
    </row>
    <row r="15" spans="2:2" x14ac:dyDescent="0.3">
      <c r="B15" s="3" t="s">
        <v>11</v>
      </c>
    </row>
    <row r="16" spans="2:2" x14ac:dyDescent="0.3">
      <c r="B16" s="3" t="s">
        <v>12</v>
      </c>
    </row>
    <row r="17" spans="2:2" ht="28.8" x14ac:dyDescent="0.3">
      <c r="B17" s="3" t="s">
        <v>13</v>
      </c>
    </row>
    <row r="18" spans="2:2" x14ac:dyDescent="0.3">
      <c r="B18" s="3"/>
    </row>
    <row r="19" spans="2:2" x14ac:dyDescent="0.3">
      <c r="B19" s="4" t="s">
        <v>14</v>
      </c>
    </row>
    <row r="20" spans="2:2" ht="28.8" x14ac:dyDescent="0.3">
      <c r="B20" s="3" t="s">
        <v>15</v>
      </c>
    </row>
    <row r="21" spans="2:2" x14ac:dyDescent="0.3">
      <c r="B21" s="3" t="s">
        <v>16</v>
      </c>
    </row>
    <row r="22" spans="2:2" x14ac:dyDescent="0.3">
      <c r="B22" s="3"/>
    </row>
    <row r="23" spans="2:2" x14ac:dyDescent="0.3">
      <c r="B23" s="4" t="s">
        <v>17</v>
      </c>
    </row>
    <row r="24" spans="2:2" x14ac:dyDescent="0.3">
      <c r="B24" s="3" t="s">
        <v>18</v>
      </c>
    </row>
    <row r="25" spans="2:2" x14ac:dyDescent="0.3">
      <c r="B25" s="3" t="s">
        <v>19</v>
      </c>
    </row>
    <row r="26" spans="2:2" x14ac:dyDescent="0.3">
      <c r="B26" s="3" t="s">
        <v>20</v>
      </c>
    </row>
    <row r="27" spans="2:2" x14ac:dyDescent="0.3">
      <c r="B27" s="3" t="s">
        <v>21</v>
      </c>
    </row>
    <row r="28" spans="2:2" x14ac:dyDescent="0.3">
      <c r="B28" s="3"/>
    </row>
    <row r="29" spans="2:2" x14ac:dyDescent="0.3">
      <c r="B29" s="4" t="s">
        <v>22</v>
      </c>
    </row>
    <row r="30" spans="2:2" x14ac:dyDescent="0.3">
      <c r="B30" s="3" t="s">
        <v>23</v>
      </c>
    </row>
    <row r="31" spans="2:2" x14ac:dyDescent="0.3">
      <c r="B31" s="3" t="s">
        <v>24</v>
      </c>
    </row>
    <row r="32" spans="2:2" x14ac:dyDescent="0.3">
      <c r="B32" s="3" t="s">
        <v>25</v>
      </c>
    </row>
    <row r="33" spans="2:2" x14ac:dyDescent="0.3">
      <c r="B33" s="3"/>
    </row>
    <row r="34" spans="2:2" x14ac:dyDescent="0.3">
      <c r="B34" s="4" t="s">
        <v>26</v>
      </c>
    </row>
    <row r="35" spans="2:2" x14ac:dyDescent="0.3">
      <c r="B35" s="3" t="s">
        <v>27</v>
      </c>
    </row>
    <row r="36" spans="2:2" x14ac:dyDescent="0.3">
      <c r="B36" s="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7"/>
  <sheetViews>
    <sheetView tabSelected="1" workbookViewId="0">
      <pane ySplit="12" topLeftCell="A13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4" customWidth="1"/>
    <col min="3" max="3" width="11" customWidth="1"/>
    <col min="4" max="4" width="8" customWidth="1"/>
    <col min="5" max="5" width="10" customWidth="1"/>
    <col min="6" max="6" width="13" customWidth="1"/>
    <col min="7" max="7" width="8" customWidth="1"/>
    <col min="8" max="8" width="10" customWidth="1"/>
    <col min="9" max="9" width="11" customWidth="1"/>
    <col min="10" max="10" width="13" customWidth="1"/>
    <col min="11" max="11" width="22" customWidth="1"/>
    <col min="12" max="12" width="40" customWidth="1"/>
    <col min="14" max="14" width="13" hidden="1" customWidth="1"/>
  </cols>
  <sheetData>
    <row r="1" spans="1:14" ht="23.4" x14ac:dyDescent="0.45">
      <c r="A1" s="6" t="s">
        <v>29</v>
      </c>
    </row>
    <row r="2" spans="1:14" x14ac:dyDescent="0.3">
      <c r="A2" s="7" t="s">
        <v>30</v>
      </c>
    </row>
    <row r="3" spans="1:14" x14ac:dyDescent="0.3">
      <c r="B3" s="8" t="s">
        <v>31</v>
      </c>
      <c r="C3" s="32" t="s">
        <v>32</v>
      </c>
      <c r="D3" s="33"/>
      <c r="E3" s="33"/>
      <c r="F3" s="33"/>
      <c r="G3" s="33"/>
      <c r="H3" s="34"/>
      <c r="N3">
        <f>IFERROR(MATCH($C$3,Przepisy!$B$5:$B$13,0),"")</f>
        <v>1</v>
      </c>
    </row>
    <row r="4" spans="1:14" x14ac:dyDescent="0.3">
      <c r="B4" s="8" t="s">
        <v>33</v>
      </c>
      <c r="C4" s="9">
        <v>24</v>
      </c>
    </row>
    <row r="5" spans="1:14" x14ac:dyDescent="0.3">
      <c r="B5" s="8" t="s">
        <v>34</v>
      </c>
      <c r="C5" s="9"/>
    </row>
    <row r="7" spans="1:14" x14ac:dyDescent="0.3">
      <c r="B7" s="8" t="s">
        <v>35</v>
      </c>
      <c r="C7" s="30" t="str">
        <f>IF($N$3="","",INDEX(Przepisy!$C$5:$C$13,$N$3))</f>
        <v>ok. 10–12 batonów</v>
      </c>
      <c r="D7" s="30"/>
      <c r="E7" s="30"/>
      <c r="F7" s="30"/>
      <c r="G7" s="30"/>
      <c r="H7" s="30"/>
    </row>
    <row r="8" spans="1:14" ht="28.8" x14ac:dyDescent="0.3">
      <c r="B8" s="8" t="s">
        <v>36</v>
      </c>
      <c r="C8">
        <f>IF($N$3="","",INDEX(Przepisy!$D$5:$D$13,$N$3))</f>
        <v>10</v>
      </c>
      <c r="D8" t="str">
        <f>IF($N$3="","",INDEX(Przepisy!$E$5:$E$13,$N$3))</f>
        <v>batonów</v>
      </c>
    </row>
    <row r="9" spans="1:14" x14ac:dyDescent="0.3">
      <c r="B9" s="8" t="s">
        <v>37</v>
      </c>
      <c r="C9">
        <f>IF($C$4="inna",IF($C$5="","",$C$5),$C$4)</f>
        <v>24</v>
      </c>
      <c r="D9" t="str">
        <f>D8</f>
        <v>batonów</v>
      </c>
    </row>
    <row r="10" spans="1:14" ht="18" x14ac:dyDescent="0.35">
      <c r="B10" s="8" t="s">
        <v>38</v>
      </c>
      <c r="C10" s="10">
        <f>IF(OR($C$8="",$C$9="",N($C$8)=0,N($C$9)=0),"",ROUND($C$9/$C$8,3))</f>
        <v>2.4</v>
      </c>
      <c r="E10" s="11" t="str">
        <f>IF($C$10="",IF($C$4="inna","← wpisz liczbę sztuk w komórce C5",""),"")</f>
        <v/>
      </c>
    </row>
    <row r="11" spans="1:14" ht="31.95" customHeight="1" x14ac:dyDescent="0.3">
      <c r="B11" s="8" t="s">
        <v>39</v>
      </c>
      <c r="C11" s="31" t="str">
        <f>IF($N$3="","",INDEX(Przepisy!$G$5:$G$13,$N$3))</f>
        <v>Najprostszy przepis – idealny na pierwszą partię.</v>
      </c>
      <c r="D11" s="30"/>
      <c r="E11" s="30"/>
      <c r="F11" s="30"/>
      <c r="G11" s="30"/>
      <c r="H11" s="30"/>
      <c r="I11" s="30"/>
      <c r="J11" s="30"/>
      <c r="K11" s="30"/>
      <c r="L11" s="30"/>
    </row>
    <row r="13" spans="1:14" ht="30" customHeight="1" x14ac:dyDescent="0.3">
      <c r="A13" s="12" t="s">
        <v>40</v>
      </c>
      <c r="B13" s="12" t="s">
        <v>41</v>
      </c>
      <c r="C13" s="12" t="s">
        <v>42</v>
      </c>
      <c r="D13" s="12" t="s">
        <v>43</v>
      </c>
      <c r="E13" s="12" t="s">
        <v>44</v>
      </c>
      <c r="F13" s="13" t="s">
        <v>45</v>
      </c>
      <c r="G13" s="13" t="s">
        <v>43</v>
      </c>
      <c r="H13" s="13" t="s">
        <v>44</v>
      </c>
      <c r="I13" s="12" t="s">
        <v>46</v>
      </c>
      <c r="J13" s="13" t="s">
        <v>47</v>
      </c>
      <c r="K13" s="12" t="s">
        <v>48</v>
      </c>
      <c r="L13" s="12" t="s">
        <v>49</v>
      </c>
    </row>
    <row r="14" spans="1:14" x14ac:dyDescent="0.3">
      <c r="A14" s="14">
        <v>1</v>
      </c>
      <c r="B14" s="15" t="str">
        <f>IF($N$3="","",IF(INDEX(Przepisy!$C$17:$C$106,($N$3-1)*10+1)="","",INDEX(Przepisy!$C$17:$C$106,($N$3-1)*10+1)))</f>
        <v>Płatki owsiane</v>
      </c>
      <c r="C14" s="16">
        <f>IF($N$3="","",IF(INDEX(Przepisy!$D$17:$D$106,($N$3-1)*10+1)="","",INDEX(Przepisy!$D$17:$D$106,($N$3-1)*10+1)))</f>
        <v>2</v>
      </c>
      <c r="D14" s="16" t="str">
        <f>IF($N$3="","",IF(INDEX(Przepisy!$E$17:$E$106,($N$3-1)*10+1)="","",INDEX(Przepisy!$E$17:$E$106,($N$3-1)*10+1)))</f>
        <v/>
      </c>
      <c r="E14" s="14" t="str">
        <f>IF($N$3="","",IF(INDEX(Przepisy!$F$17:$F$106,($N$3-1)*10+1)="","",INDEX(Przepisy!$F$17:$F$106,($N$3-1)*10+1)))</f>
        <v>szkl.</v>
      </c>
      <c r="F14" s="17">
        <f t="shared" ref="F14:F23" si="0">IF(OR($C14="",$C$10=""),"",IF($E14="szt.",ROUNDUP($C14*$C$10,0),IF($E14="kropli",ROUND($C14*$C$10,0),ROUND($C14*$C$10*4,0)/4)))</f>
        <v>4.75</v>
      </c>
      <c r="G14" s="17" t="str">
        <f t="shared" ref="G14:G23" si="1">IF(OR($D14="",$C$10=""),"",IF($E14="szt.",ROUNDUP($D14*$C$10,0),IF($E14="kropli",ROUND($D14*$C$10,0),ROUND($D14*$C$10*4,0)/4)))</f>
        <v/>
      </c>
      <c r="H14" s="18" t="str">
        <f t="shared" ref="H14:H23" si="2">IF($B14="","",$E14)</f>
        <v>szkl.</v>
      </c>
      <c r="I14" s="14">
        <f>IF($N$3="","",IF(INDEX(Przepisy!$G$17:$G$106,($N$3-1)*10+1)="","",INDEX(Przepisy!$G$17:$G$106,($N$3-1)*10+1)))</f>
        <v>180</v>
      </c>
      <c r="J14" s="18">
        <f t="shared" ref="J14:J23" si="3">IF(OR($I14="",$C$10=""),"",ROUND($I14*$C$10,0))</f>
        <v>432</v>
      </c>
      <c r="K14" s="15" t="str">
        <f t="shared" ref="K14:K23" si="4">IF(OR($F14="",$H14=""),"",IF($H14="szkl.",IF(ROUND(($F14-INT($F14))*16,0)=0,INT($F14)&amp;" szkl.",IF(INT($F14)=0,"",INT($F14)&amp;" szkl. + ")&amp;ROUND(($F14-INT($F14))*16,0)&amp;" łyż."),IF(AND($H14="łyż.",$F14&gt;=16),INT($F14/16)&amp;" szkl. + "&amp;MOD($F14,16)&amp;" łyż.","")))</f>
        <v>4 szkl. + 12 łyż.</v>
      </c>
      <c r="L14" s="15" t="str">
        <f>IF($N$3="","",IF(INDEX(Przepisy!$H$17:$H$106,($N$3-1)*10+1)="","",INDEX(Przepisy!$H$17:$H$106,($N$3-1)*10+1)))</f>
        <v/>
      </c>
    </row>
    <row r="15" spans="1:14" x14ac:dyDescent="0.3">
      <c r="A15" s="19">
        <v>2</v>
      </c>
      <c r="B15" s="20" t="str">
        <f>IF($N$3="","",IF(INDEX(Przepisy!$C$17:$C$106,($N$3-1)*10+2)="","",INDEX(Przepisy!$C$17:$C$106,($N$3-1)*10+2)))</f>
        <v>Miód</v>
      </c>
      <c r="C15" s="21">
        <f>IF($N$3="","",IF(INDEX(Przepisy!$D$17:$D$106,($N$3-1)*10+2)="","",INDEX(Przepisy!$D$17:$D$106,($N$3-1)*10+2)))</f>
        <v>0.5</v>
      </c>
      <c r="D15" s="21" t="str">
        <f>IF($N$3="","",IF(INDEX(Przepisy!$E$17:$E$106,($N$3-1)*10+2)="","",INDEX(Przepisy!$E$17:$E$106,($N$3-1)*10+2)))</f>
        <v/>
      </c>
      <c r="E15" s="19" t="str">
        <f>IF($N$3="","",IF(INDEX(Przepisy!$F$17:$F$106,($N$3-1)*10+2)="","",INDEX(Przepisy!$F$17:$F$106,($N$3-1)*10+2)))</f>
        <v>szkl.</v>
      </c>
      <c r="F15" s="22">
        <f t="shared" si="0"/>
        <v>1.25</v>
      </c>
      <c r="G15" s="22" t="str">
        <f t="shared" si="1"/>
        <v/>
      </c>
      <c r="H15" s="23" t="str">
        <f t="shared" si="2"/>
        <v>szkl.</v>
      </c>
      <c r="I15" s="19">
        <f>IF($N$3="","",IF(INDEX(Przepisy!$G$17:$G$106,($N$3-1)*10+2)="","",INDEX(Przepisy!$G$17:$G$106,($N$3-1)*10+2)))</f>
        <v>170</v>
      </c>
      <c r="J15" s="23">
        <f t="shared" si="3"/>
        <v>408</v>
      </c>
      <c r="K15" s="20" t="str">
        <f t="shared" si="4"/>
        <v>1 szkl. + 4 łyż.</v>
      </c>
      <c r="L15" s="20" t="str">
        <f>IF($N$3="","",IF(INDEX(Przepisy!$H$17:$H$106,($N$3-1)*10+2)="","",INDEX(Przepisy!$H$17:$H$106,($N$3-1)*10+2)))</f>
        <v/>
      </c>
    </row>
    <row r="16" spans="1:14" x14ac:dyDescent="0.3">
      <c r="A16" s="14">
        <v>3</v>
      </c>
      <c r="B16" s="15" t="str">
        <f>IF($N$3="","",IF(INDEX(Przepisy!$C$17:$C$106,($N$3-1)*10+3)="","",INDEX(Przepisy!$C$17:$C$106,($N$3-1)*10+3)))</f>
        <v>Masło orzechowe</v>
      </c>
      <c r="C16" s="16">
        <f>IF($N$3="","",IF(INDEX(Przepisy!$D$17:$D$106,($N$3-1)*10+3)="","",INDEX(Przepisy!$D$17:$D$106,($N$3-1)*10+3)))</f>
        <v>0.25</v>
      </c>
      <c r="D16" s="16" t="str">
        <f>IF($N$3="","",IF(INDEX(Przepisy!$E$17:$E$106,($N$3-1)*10+3)="","",INDEX(Przepisy!$E$17:$E$106,($N$3-1)*10+3)))</f>
        <v/>
      </c>
      <c r="E16" s="14" t="str">
        <f>IF($N$3="","",IF(INDEX(Przepisy!$F$17:$F$106,($N$3-1)*10+3)="","",INDEX(Przepisy!$F$17:$F$106,($N$3-1)*10+3)))</f>
        <v>szkl.</v>
      </c>
      <c r="F16" s="17">
        <f t="shared" si="0"/>
        <v>0.5</v>
      </c>
      <c r="G16" s="17" t="str">
        <f t="shared" si="1"/>
        <v/>
      </c>
      <c r="H16" s="18" t="str">
        <f t="shared" si="2"/>
        <v>szkl.</v>
      </c>
      <c r="I16" s="14">
        <f>IF($N$3="","",IF(INDEX(Przepisy!$G$17:$G$106,($N$3-1)*10+3)="","",INDEX(Przepisy!$G$17:$G$106,($N$3-1)*10+3)))</f>
        <v>65</v>
      </c>
      <c r="J16" s="18">
        <f t="shared" si="3"/>
        <v>156</v>
      </c>
      <c r="K16" s="15" t="str">
        <f t="shared" si="4"/>
        <v>8 łyż.</v>
      </c>
      <c r="L16" s="15" t="str">
        <f>IF($N$3="","",IF(INDEX(Przepisy!$H$17:$H$106,($N$3-1)*10+3)="","",INDEX(Przepisy!$H$17:$H$106,($N$3-1)*10+3)))</f>
        <v/>
      </c>
    </row>
    <row r="17" spans="1:12" x14ac:dyDescent="0.3">
      <c r="A17" s="19">
        <v>4</v>
      </c>
      <c r="B17" s="20" t="str">
        <f>IF($N$3="","",IF(INDEX(Przepisy!$C$17:$C$106,($N$3-1)*10+4)="","",INDEX(Przepisy!$C$17:$C$106,($N$3-1)*10+4)))</f>
        <v>Siekane orzechy</v>
      </c>
      <c r="C17" s="21">
        <f>IF($N$3="","",IF(INDEX(Przepisy!$D$17:$D$106,($N$3-1)*10+4)="","",INDEX(Przepisy!$D$17:$D$106,($N$3-1)*10+4)))</f>
        <v>0.5</v>
      </c>
      <c r="D17" s="21" t="str">
        <f>IF($N$3="","",IF(INDEX(Przepisy!$E$17:$E$106,($N$3-1)*10+4)="","",INDEX(Przepisy!$E$17:$E$106,($N$3-1)*10+4)))</f>
        <v/>
      </c>
      <c r="E17" s="19" t="str">
        <f>IF($N$3="","",IF(INDEX(Przepisy!$F$17:$F$106,($N$3-1)*10+4)="","",INDEX(Przepisy!$F$17:$F$106,($N$3-1)*10+4)))</f>
        <v>szkl.</v>
      </c>
      <c r="F17" s="22">
        <f t="shared" si="0"/>
        <v>1.25</v>
      </c>
      <c r="G17" s="22" t="str">
        <f t="shared" si="1"/>
        <v/>
      </c>
      <c r="H17" s="23" t="str">
        <f t="shared" si="2"/>
        <v>szkl.</v>
      </c>
      <c r="I17" s="19">
        <f>IF($N$3="","",IF(INDEX(Przepisy!$G$17:$G$106,($N$3-1)*10+4)="","",INDEX(Przepisy!$G$17:$G$106,($N$3-1)*10+4)))</f>
        <v>60</v>
      </c>
      <c r="J17" s="23">
        <f t="shared" si="3"/>
        <v>144</v>
      </c>
      <c r="K17" s="20" t="str">
        <f t="shared" si="4"/>
        <v>1 szkl. + 4 łyż.</v>
      </c>
      <c r="L17" s="20" t="str">
        <f>IF($N$3="","",IF(INDEX(Przepisy!$H$17:$H$106,($N$3-1)*10+4)="","",INDEX(Przepisy!$H$17:$H$106,($N$3-1)*10+4)))</f>
        <v/>
      </c>
    </row>
    <row r="18" spans="1:12" x14ac:dyDescent="0.3">
      <c r="A18" s="14">
        <v>5</v>
      </c>
      <c r="B18" s="15" t="str">
        <f>IF($N$3="","",IF(INDEX(Przepisy!$C$17:$C$106,($N$3-1)*10+5)="","",INDEX(Przepisy!$C$17:$C$106,($N$3-1)*10+5)))</f>
        <v>Ekstrakt z wanilii</v>
      </c>
      <c r="C18" s="16">
        <f>IF($N$3="","",IF(INDEX(Przepisy!$D$17:$D$106,($N$3-1)*10+5)="","",INDEX(Przepisy!$D$17:$D$106,($N$3-1)*10+5)))</f>
        <v>1</v>
      </c>
      <c r="D18" s="16" t="str">
        <f>IF($N$3="","",IF(INDEX(Przepisy!$E$17:$E$106,($N$3-1)*10+5)="","",INDEX(Przepisy!$E$17:$E$106,($N$3-1)*10+5)))</f>
        <v/>
      </c>
      <c r="E18" s="14" t="str">
        <f>IF($N$3="","",IF(INDEX(Przepisy!$F$17:$F$106,($N$3-1)*10+5)="","",INDEX(Przepisy!$F$17:$F$106,($N$3-1)*10+5)))</f>
        <v>łyżecz.</v>
      </c>
      <c r="F18" s="17">
        <f t="shared" si="0"/>
        <v>2.5</v>
      </c>
      <c r="G18" s="17" t="str">
        <f t="shared" si="1"/>
        <v/>
      </c>
      <c r="H18" s="18" t="str">
        <f t="shared" si="2"/>
        <v>łyżecz.</v>
      </c>
      <c r="I18" s="14" t="str">
        <f>IF($N$3="","",IF(INDEX(Przepisy!$G$17:$G$106,($N$3-1)*10+5)="","",INDEX(Przepisy!$G$17:$G$106,($N$3-1)*10+5)))</f>
        <v/>
      </c>
      <c r="J18" s="18" t="str">
        <f t="shared" si="3"/>
        <v/>
      </c>
      <c r="K18" s="15" t="str">
        <f t="shared" si="4"/>
        <v/>
      </c>
      <c r="L18" s="15" t="str">
        <f>IF($N$3="","",IF(INDEX(Przepisy!$H$17:$H$106,($N$3-1)*10+5)="","",INDEX(Przepisy!$H$17:$H$106,($N$3-1)*10+5)))</f>
        <v/>
      </c>
    </row>
    <row r="19" spans="1:12" x14ac:dyDescent="0.3">
      <c r="A19" s="19">
        <v>6</v>
      </c>
      <c r="B19" s="20" t="str">
        <f>IF($N$3="","",IF(INDEX(Przepisy!$C$17:$C$106,($N$3-1)*10+6)="","",INDEX(Przepisy!$C$17:$C$106,($N$3-1)*10+6)))</f>
        <v>Sól</v>
      </c>
      <c r="C19" s="21">
        <f>IF($N$3="","",IF(INDEX(Przepisy!$D$17:$D$106,($N$3-1)*10+6)="","",INDEX(Przepisy!$D$17:$D$106,($N$3-1)*10+6)))</f>
        <v>1</v>
      </c>
      <c r="D19" s="21" t="str">
        <f>IF($N$3="","",IF(INDEX(Przepisy!$E$17:$E$106,($N$3-1)*10+6)="","",INDEX(Przepisy!$E$17:$E$106,($N$3-1)*10+6)))</f>
        <v/>
      </c>
      <c r="E19" s="19" t="str">
        <f>IF($N$3="","",IF(INDEX(Przepisy!$F$17:$F$106,($N$3-1)*10+6)="","",INDEX(Przepisy!$F$17:$F$106,($N$3-1)*10+6)))</f>
        <v>szczypta</v>
      </c>
      <c r="F19" s="22">
        <f t="shared" si="0"/>
        <v>2.5</v>
      </c>
      <c r="G19" s="22" t="str">
        <f t="shared" si="1"/>
        <v/>
      </c>
      <c r="H19" s="23" t="str">
        <f t="shared" si="2"/>
        <v>szczypta</v>
      </c>
      <c r="I19" s="19" t="str">
        <f>IF($N$3="","",IF(INDEX(Przepisy!$G$17:$G$106,($N$3-1)*10+6)="","",INDEX(Przepisy!$G$17:$G$106,($N$3-1)*10+6)))</f>
        <v/>
      </c>
      <c r="J19" s="23" t="str">
        <f t="shared" si="3"/>
        <v/>
      </c>
      <c r="K19" s="20" t="str">
        <f t="shared" si="4"/>
        <v/>
      </c>
      <c r="L19" s="20" t="str">
        <f>IF($N$3="","",IF(INDEX(Przepisy!$H$17:$H$106,($N$3-1)*10+6)="","",INDEX(Przepisy!$H$17:$H$106,($N$3-1)*10+6)))</f>
        <v>dopraw do smaku</v>
      </c>
    </row>
    <row r="20" spans="1:12" x14ac:dyDescent="0.3">
      <c r="A20" s="14">
        <v>7</v>
      </c>
      <c r="B20" s="15" t="str">
        <f>IF($N$3="","",IF(INDEX(Przepisy!$C$17:$C$106,($N$3-1)*10+7)="","",INDEX(Przepisy!$C$17:$C$106,($N$3-1)*10+7)))</f>
        <v/>
      </c>
      <c r="C20" s="16" t="str">
        <f>IF($N$3="","",IF(INDEX(Przepisy!$D$17:$D$106,($N$3-1)*10+7)="","",INDEX(Przepisy!$D$17:$D$106,($N$3-1)*10+7)))</f>
        <v/>
      </c>
      <c r="D20" s="16" t="str">
        <f>IF($N$3="","",IF(INDEX(Przepisy!$E$17:$E$106,($N$3-1)*10+7)="","",INDEX(Przepisy!$E$17:$E$106,($N$3-1)*10+7)))</f>
        <v/>
      </c>
      <c r="E20" s="14" t="str">
        <f>IF($N$3="","",IF(INDEX(Przepisy!$F$17:$F$106,($N$3-1)*10+7)="","",INDEX(Przepisy!$F$17:$F$106,($N$3-1)*10+7)))</f>
        <v/>
      </c>
      <c r="F20" s="17" t="str">
        <f t="shared" si="0"/>
        <v/>
      </c>
      <c r="G20" s="17" t="str">
        <f t="shared" si="1"/>
        <v/>
      </c>
      <c r="H20" s="18" t="str">
        <f t="shared" si="2"/>
        <v/>
      </c>
      <c r="I20" s="14" t="str">
        <f>IF($N$3="","",IF(INDEX(Przepisy!$G$17:$G$106,($N$3-1)*10+7)="","",INDEX(Przepisy!$G$17:$G$106,($N$3-1)*10+7)))</f>
        <v/>
      </c>
      <c r="J20" s="18" t="str">
        <f t="shared" si="3"/>
        <v/>
      </c>
      <c r="K20" s="15" t="str">
        <f t="shared" si="4"/>
        <v/>
      </c>
      <c r="L20" s="15" t="str">
        <f>IF($N$3="","",IF(INDEX(Przepisy!$H$17:$H$106,($N$3-1)*10+7)="","",INDEX(Przepisy!$H$17:$H$106,($N$3-1)*10+7)))</f>
        <v/>
      </c>
    </row>
    <row r="21" spans="1:12" x14ac:dyDescent="0.3">
      <c r="A21" s="19">
        <v>8</v>
      </c>
      <c r="B21" s="20" t="str">
        <f>IF($N$3="","",IF(INDEX(Przepisy!$C$17:$C$106,($N$3-1)*10+8)="","",INDEX(Przepisy!$C$17:$C$106,($N$3-1)*10+8)))</f>
        <v/>
      </c>
      <c r="C21" s="21" t="str">
        <f>IF($N$3="","",IF(INDEX(Przepisy!$D$17:$D$106,($N$3-1)*10+8)="","",INDEX(Przepisy!$D$17:$D$106,($N$3-1)*10+8)))</f>
        <v/>
      </c>
      <c r="D21" s="21" t="str">
        <f>IF($N$3="","",IF(INDEX(Przepisy!$E$17:$E$106,($N$3-1)*10+8)="","",INDEX(Przepisy!$E$17:$E$106,($N$3-1)*10+8)))</f>
        <v/>
      </c>
      <c r="E21" s="19" t="str">
        <f>IF($N$3="","",IF(INDEX(Przepisy!$F$17:$F$106,($N$3-1)*10+8)="","",INDEX(Przepisy!$F$17:$F$106,($N$3-1)*10+8)))</f>
        <v/>
      </c>
      <c r="F21" s="22" t="str">
        <f t="shared" si="0"/>
        <v/>
      </c>
      <c r="G21" s="22" t="str">
        <f t="shared" si="1"/>
        <v/>
      </c>
      <c r="H21" s="23" t="str">
        <f t="shared" si="2"/>
        <v/>
      </c>
      <c r="I21" s="19" t="str">
        <f>IF($N$3="","",IF(INDEX(Przepisy!$G$17:$G$106,($N$3-1)*10+8)="","",INDEX(Przepisy!$G$17:$G$106,($N$3-1)*10+8)))</f>
        <v/>
      </c>
      <c r="J21" s="23" t="str">
        <f t="shared" si="3"/>
        <v/>
      </c>
      <c r="K21" s="20" t="str">
        <f t="shared" si="4"/>
        <v/>
      </c>
      <c r="L21" s="20" t="str">
        <f>IF($N$3="","",IF(INDEX(Przepisy!$H$17:$H$106,($N$3-1)*10+8)="","",INDEX(Przepisy!$H$17:$H$106,($N$3-1)*10+8)))</f>
        <v/>
      </c>
    </row>
    <row r="22" spans="1:12" x14ac:dyDescent="0.3">
      <c r="A22" s="14">
        <v>9</v>
      </c>
      <c r="B22" s="15" t="str">
        <f>IF($N$3="","",IF(INDEX(Przepisy!$C$17:$C$106,($N$3-1)*10+9)="","",INDEX(Przepisy!$C$17:$C$106,($N$3-1)*10+9)))</f>
        <v/>
      </c>
      <c r="C22" s="16" t="str">
        <f>IF($N$3="","",IF(INDEX(Przepisy!$D$17:$D$106,($N$3-1)*10+9)="","",INDEX(Przepisy!$D$17:$D$106,($N$3-1)*10+9)))</f>
        <v/>
      </c>
      <c r="D22" s="16" t="str">
        <f>IF($N$3="","",IF(INDEX(Przepisy!$E$17:$E$106,($N$3-1)*10+9)="","",INDEX(Przepisy!$E$17:$E$106,($N$3-1)*10+9)))</f>
        <v/>
      </c>
      <c r="E22" s="14" t="str">
        <f>IF($N$3="","",IF(INDEX(Przepisy!$F$17:$F$106,($N$3-1)*10+9)="","",INDEX(Przepisy!$F$17:$F$106,($N$3-1)*10+9)))</f>
        <v/>
      </c>
      <c r="F22" s="17" t="str">
        <f t="shared" si="0"/>
        <v/>
      </c>
      <c r="G22" s="17" t="str">
        <f t="shared" si="1"/>
        <v/>
      </c>
      <c r="H22" s="18" t="str">
        <f t="shared" si="2"/>
        <v/>
      </c>
      <c r="I22" s="14" t="str">
        <f>IF($N$3="","",IF(INDEX(Przepisy!$G$17:$G$106,($N$3-1)*10+9)="","",INDEX(Przepisy!$G$17:$G$106,($N$3-1)*10+9)))</f>
        <v/>
      </c>
      <c r="J22" s="18" t="str">
        <f t="shared" si="3"/>
        <v/>
      </c>
      <c r="K22" s="15" t="str">
        <f t="shared" si="4"/>
        <v/>
      </c>
      <c r="L22" s="15" t="str">
        <f>IF($N$3="","",IF(INDEX(Przepisy!$H$17:$H$106,($N$3-1)*10+9)="","",INDEX(Przepisy!$H$17:$H$106,($N$3-1)*10+9)))</f>
        <v/>
      </c>
    </row>
    <row r="23" spans="1:12" x14ac:dyDescent="0.3">
      <c r="A23" s="19">
        <v>10</v>
      </c>
      <c r="B23" s="20" t="str">
        <f>IF($N$3="","",IF(INDEX(Przepisy!$C$17:$C$106,($N$3-1)*10+10)="","",INDEX(Przepisy!$C$17:$C$106,($N$3-1)*10+10)))</f>
        <v/>
      </c>
      <c r="C23" s="21" t="str">
        <f>IF($N$3="","",IF(INDEX(Przepisy!$D$17:$D$106,($N$3-1)*10+10)="","",INDEX(Przepisy!$D$17:$D$106,($N$3-1)*10+10)))</f>
        <v/>
      </c>
      <c r="D23" s="21" t="str">
        <f>IF($N$3="","",IF(INDEX(Przepisy!$E$17:$E$106,($N$3-1)*10+10)="","",INDEX(Przepisy!$E$17:$E$106,($N$3-1)*10+10)))</f>
        <v/>
      </c>
      <c r="E23" s="19" t="str">
        <f>IF($N$3="","",IF(INDEX(Przepisy!$F$17:$F$106,($N$3-1)*10+10)="","",INDEX(Przepisy!$F$17:$F$106,($N$3-1)*10+10)))</f>
        <v/>
      </c>
      <c r="F23" s="22" t="str">
        <f t="shared" si="0"/>
        <v/>
      </c>
      <c r="G23" s="22" t="str">
        <f t="shared" si="1"/>
        <v/>
      </c>
      <c r="H23" s="23" t="str">
        <f t="shared" si="2"/>
        <v/>
      </c>
      <c r="I23" s="19" t="str">
        <f>IF($N$3="","",IF(INDEX(Przepisy!$G$17:$G$106,($N$3-1)*10+10)="","",INDEX(Przepisy!$G$17:$G$106,($N$3-1)*10+10)))</f>
        <v/>
      </c>
      <c r="J23" s="23" t="str">
        <f t="shared" si="3"/>
        <v/>
      </c>
      <c r="K23" s="20" t="str">
        <f t="shared" si="4"/>
        <v/>
      </c>
      <c r="L23" s="20" t="str">
        <f>IF($N$3="","",IF(INDEX(Przepisy!$H$17:$H$106,($N$3-1)*10+10)="","",INDEX(Przepisy!$H$17:$H$106,($N$3-1)*10+10)))</f>
        <v/>
      </c>
    </row>
    <row r="24" spans="1:12" x14ac:dyDescent="0.3">
      <c r="I24" s="24" t="s">
        <v>50</v>
      </c>
      <c r="J24" s="24">
        <f>IF($C$10="","",SUM(J14:J23))</f>
        <v>1140</v>
      </c>
      <c r="K24" t="s">
        <v>51</v>
      </c>
    </row>
    <row r="26" spans="1:12" x14ac:dyDescent="0.3">
      <c r="B26" s="7" t="s">
        <v>52</v>
      </c>
    </row>
    <row r="27" spans="1:12" x14ac:dyDescent="0.3">
      <c r="B27" s="7" t="s">
        <v>53</v>
      </c>
    </row>
  </sheetData>
  <mergeCells count="3">
    <mergeCell ref="C7:H7"/>
    <mergeCell ref="C11:L11"/>
    <mergeCell ref="C3:H3"/>
  </mergeCells>
  <dataValidations count="2">
    <dataValidation type="list" showErrorMessage="1" errorTitle="Liczba sztuk" error="Wybierz 12, 24, 48 albo „inna”." sqref="C4" xr:uid="{00000000-0002-0000-0100-000001000000}">
      <formula1>"12,24,48,inna"</formula1>
    </dataValidation>
    <dataValidation type="whole" allowBlank="1" showErrorMessage="1" errorTitle="Liczba sztuk" error="Wpisz liczbę całkowitą, np. 30." sqref="C5" xr:uid="{00000000-0002-0000-0100-000002000000}">
      <formula1>1</formula1>
      <formula2>10000</formula2>
    </dataValidation>
  </dataValidation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Przepis" error="Wybierz przepis z listy." xr:uid="{00000000-0002-0000-0100-000000000000}">
          <x14:formula1>
            <xm:f>Przepisy!$B$5:$B$13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6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34" customWidth="1"/>
    <col min="3" max="3" width="26" customWidth="1"/>
    <col min="4" max="4" width="14" customWidth="1"/>
    <col min="5" max="7" width="12" customWidth="1"/>
    <col min="8" max="8" width="44" customWidth="1"/>
  </cols>
  <sheetData>
    <row r="1" spans="1:8" ht="23.4" x14ac:dyDescent="0.45">
      <c r="A1" s="6" t="s">
        <v>54</v>
      </c>
    </row>
    <row r="2" spans="1:8" x14ac:dyDescent="0.3">
      <c r="A2" s="7" t="s">
        <v>55</v>
      </c>
    </row>
    <row r="4" spans="1:8" ht="28.8" x14ac:dyDescent="0.3">
      <c r="A4" s="25" t="s">
        <v>56</v>
      </c>
      <c r="B4" s="25" t="s">
        <v>57</v>
      </c>
      <c r="C4" s="25" t="s">
        <v>58</v>
      </c>
      <c r="D4" s="25" t="s">
        <v>59</v>
      </c>
      <c r="E4" s="25" t="s">
        <v>60</v>
      </c>
      <c r="F4" s="25" t="s">
        <v>61</v>
      </c>
      <c r="G4" s="25" t="s">
        <v>62</v>
      </c>
    </row>
    <row r="5" spans="1:8" ht="72" x14ac:dyDescent="0.3">
      <c r="A5" s="15">
        <v>1</v>
      </c>
      <c r="B5" s="15" t="s">
        <v>32</v>
      </c>
      <c r="C5" s="15" t="s">
        <v>63</v>
      </c>
      <c r="D5" s="26">
        <v>10</v>
      </c>
      <c r="E5" s="15" t="s">
        <v>64</v>
      </c>
      <c r="F5" s="15" t="s">
        <v>65</v>
      </c>
      <c r="G5" s="15" t="s">
        <v>66</v>
      </c>
    </row>
    <row r="6" spans="1:8" ht="86.4" x14ac:dyDescent="0.3">
      <c r="A6" s="15">
        <v>2</v>
      </c>
      <c r="B6" s="15" t="s">
        <v>67</v>
      </c>
      <c r="C6" s="15" t="s">
        <v>68</v>
      </c>
      <c r="D6" s="26">
        <v>8</v>
      </c>
      <c r="E6" s="15" t="s">
        <v>64</v>
      </c>
      <c r="F6" s="15" t="s">
        <v>69</v>
      </c>
      <c r="G6" s="15" t="s">
        <v>70</v>
      </c>
    </row>
    <row r="7" spans="1:8" ht="72" x14ac:dyDescent="0.3">
      <c r="A7" s="15">
        <v>3</v>
      </c>
      <c r="B7" s="15" t="s">
        <v>71</v>
      </c>
      <c r="C7" s="15" t="s">
        <v>72</v>
      </c>
      <c r="D7" s="26">
        <v>10</v>
      </c>
      <c r="E7" s="15" t="s">
        <v>64</v>
      </c>
      <c r="F7" s="15" t="s">
        <v>73</v>
      </c>
      <c r="G7" s="15" t="s">
        <v>74</v>
      </c>
    </row>
    <row r="8" spans="1:8" ht="100.8" x14ac:dyDescent="0.3">
      <c r="A8" s="15">
        <v>4</v>
      </c>
      <c r="B8" s="15" t="s">
        <v>75</v>
      </c>
      <c r="C8" s="15" t="s">
        <v>63</v>
      </c>
      <c r="D8" s="26">
        <v>10</v>
      </c>
      <c r="E8" s="15" t="s">
        <v>64</v>
      </c>
      <c r="F8" s="15" t="s">
        <v>76</v>
      </c>
      <c r="G8" s="15" t="s">
        <v>77</v>
      </c>
    </row>
    <row r="9" spans="1:8" ht="100.8" x14ac:dyDescent="0.3">
      <c r="A9" s="15">
        <v>5</v>
      </c>
      <c r="B9" s="15" t="s">
        <v>78</v>
      </c>
      <c r="C9" s="15" t="s">
        <v>79</v>
      </c>
      <c r="D9" s="26">
        <v>14</v>
      </c>
      <c r="E9" s="15" t="s">
        <v>80</v>
      </c>
      <c r="F9" s="15" t="s">
        <v>81</v>
      </c>
      <c r="G9" s="15" t="s">
        <v>82</v>
      </c>
    </row>
    <row r="10" spans="1:8" ht="187.2" x14ac:dyDescent="0.3">
      <c r="A10" s="15">
        <v>6</v>
      </c>
      <c r="B10" s="15" t="s">
        <v>83</v>
      </c>
      <c r="C10" s="15" t="s">
        <v>84</v>
      </c>
      <c r="D10" s="26">
        <v>8</v>
      </c>
      <c r="E10" s="15" t="s">
        <v>85</v>
      </c>
      <c r="F10" s="15" t="s">
        <v>86</v>
      </c>
      <c r="G10" s="15" t="s">
        <v>87</v>
      </c>
    </row>
    <row r="11" spans="1:8" ht="86.4" x14ac:dyDescent="0.3">
      <c r="A11" s="15">
        <v>7</v>
      </c>
      <c r="B11" s="15" t="s">
        <v>88</v>
      </c>
      <c r="C11" s="15" t="s">
        <v>89</v>
      </c>
      <c r="D11" s="26">
        <v>14</v>
      </c>
      <c r="E11" s="15" t="s">
        <v>90</v>
      </c>
      <c r="F11" s="15" t="s">
        <v>91</v>
      </c>
      <c r="G11" s="15" t="s">
        <v>92</v>
      </c>
    </row>
    <row r="12" spans="1:8" ht="259.2" x14ac:dyDescent="0.3">
      <c r="A12" s="15">
        <v>8</v>
      </c>
      <c r="B12" s="15" t="s">
        <v>93</v>
      </c>
      <c r="C12" s="15" t="s">
        <v>94</v>
      </c>
      <c r="D12" s="26">
        <v>12</v>
      </c>
      <c r="E12" s="15" t="s">
        <v>64</v>
      </c>
      <c r="F12" s="15" t="s">
        <v>95</v>
      </c>
      <c r="G12" s="15" t="s">
        <v>96</v>
      </c>
    </row>
    <row r="13" spans="1:8" ht="72" x14ac:dyDescent="0.3">
      <c r="A13" s="15">
        <v>9</v>
      </c>
      <c r="B13" s="26" t="s">
        <v>97</v>
      </c>
      <c r="C13" s="26" t="s">
        <v>98</v>
      </c>
      <c r="D13" s="26">
        <v>12</v>
      </c>
      <c r="E13" s="26" t="s">
        <v>99</v>
      </c>
      <c r="F13" s="15" t="s">
        <v>100</v>
      </c>
      <c r="G13" s="26" t="s">
        <v>101</v>
      </c>
    </row>
    <row r="15" spans="1:8" x14ac:dyDescent="0.3">
      <c r="A15" s="24" t="s">
        <v>102</v>
      </c>
    </row>
    <row r="16" spans="1:8" ht="28.8" x14ac:dyDescent="0.3">
      <c r="A16" s="25" t="s">
        <v>103</v>
      </c>
      <c r="B16" s="25" t="s">
        <v>40</v>
      </c>
      <c r="C16" s="25" t="s">
        <v>41</v>
      </c>
      <c r="D16" s="25" t="s">
        <v>104</v>
      </c>
      <c r="E16" s="25" t="s">
        <v>105</v>
      </c>
      <c r="F16" s="25" t="s">
        <v>44</v>
      </c>
      <c r="G16" s="25" t="s">
        <v>106</v>
      </c>
      <c r="H16" s="25" t="s">
        <v>49</v>
      </c>
    </row>
    <row r="17" spans="1:8" x14ac:dyDescent="0.3">
      <c r="A17" s="15">
        <v>1</v>
      </c>
      <c r="B17" s="15">
        <v>1</v>
      </c>
      <c r="C17" s="15" t="s">
        <v>107</v>
      </c>
      <c r="D17" s="27">
        <v>2</v>
      </c>
      <c r="E17" s="15"/>
      <c r="F17" s="15" t="s">
        <v>108</v>
      </c>
      <c r="G17" s="15">
        <v>180</v>
      </c>
      <c r="H17" s="15"/>
    </row>
    <row r="18" spans="1:8" x14ac:dyDescent="0.3">
      <c r="A18" s="15">
        <v>1</v>
      </c>
      <c r="B18" s="15">
        <v>2</v>
      </c>
      <c r="C18" s="15" t="s">
        <v>109</v>
      </c>
      <c r="D18" s="27">
        <v>0.5</v>
      </c>
      <c r="E18" s="15"/>
      <c r="F18" s="15" t="s">
        <v>108</v>
      </c>
      <c r="G18" s="15">
        <v>170</v>
      </c>
      <c r="H18" s="15"/>
    </row>
    <row r="19" spans="1:8" x14ac:dyDescent="0.3">
      <c r="A19" s="15">
        <v>1</v>
      </c>
      <c r="B19" s="15">
        <v>3</v>
      </c>
      <c r="C19" s="15" t="s">
        <v>110</v>
      </c>
      <c r="D19" s="27">
        <v>0.25</v>
      </c>
      <c r="E19" s="15"/>
      <c r="F19" s="15" t="s">
        <v>108</v>
      </c>
      <c r="G19" s="15">
        <v>65</v>
      </c>
      <c r="H19" s="15"/>
    </row>
    <row r="20" spans="1:8" x14ac:dyDescent="0.3">
      <c r="A20" s="15">
        <v>1</v>
      </c>
      <c r="B20" s="15">
        <v>4</v>
      </c>
      <c r="C20" s="15" t="s">
        <v>111</v>
      </c>
      <c r="D20" s="27">
        <v>0.5</v>
      </c>
      <c r="E20" s="15"/>
      <c r="F20" s="15" t="s">
        <v>108</v>
      </c>
      <c r="G20" s="15">
        <v>60</v>
      </c>
      <c r="H20" s="15"/>
    </row>
    <row r="21" spans="1:8" x14ac:dyDescent="0.3">
      <c r="A21" s="15">
        <v>1</v>
      </c>
      <c r="B21" s="15">
        <v>5</v>
      </c>
      <c r="C21" s="15" t="s">
        <v>112</v>
      </c>
      <c r="D21" s="27">
        <v>1</v>
      </c>
      <c r="E21" s="15"/>
      <c r="F21" s="15" t="s">
        <v>113</v>
      </c>
      <c r="G21" s="15"/>
      <c r="H21" s="15"/>
    </row>
    <row r="22" spans="1:8" x14ac:dyDescent="0.3">
      <c r="A22" s="15">
        <v>1</v>
      </c>
      <c r="B22" s="15">
        <v>6</v>
      </c>
      <c r="C22" s="15" t="s">
        <v>114</v>
      </c>
      <c r="D22" s="27">
        <v>1</v>
      </c>
      <c r="E22" s="15"/>
      <c r="F22" s="15" t="s">
        <v>115</v>
      </c>
      <c r="G22" s="15"/>
      <c r="H22" s="15" t="s">
        <v>116</v>
      </c>
    </row>
    <row r="23" spans="1:8" x14ac:dyDescent="0.3">
      <c r="A23" s="15">
        <v>1</v>
      </c>
      <c r="B23" s="15">
        <v>7</v>
      </c>
      <c r="C23" s="15"/>
      <c r="D23" s="27"/>
      <c r="E23" s="15"/>
      <c r="F23" s="15"/>
      <c r="G23" s="15"/>
      <c r="H23" s="15"/>
    </row>
    <row r="24" spans="1:8" x14ac:dyDescent="0.3">
      <c r="A24" s="15">
        <v>1</v>
      </c>
      <c r="B24" s="15">
        <v>8</v>
      </c>
      <c r="C24" s="15"/>
      <c r="D24" s="27"/>
      <c r="E24" s="15"/>
      <c r="F24" s="15"/>
      <c r="G24" s="15"/>
      <c r="H24" s="15"/>
    </row>
    <row r="25" spans="1:8" x14ac:dyDescent="0.3">
      <c r="A25" s="15">
        <v>1</v>
      </c>
      <c r="B25" s="15">
        <v>9</v>
      </c>
      <c r="C25" s="15"/>
      <c r="D25" s="27"/>
      <c r="E25" s="15"/>
      <c r="F25" s="15"/>
      <c r="G25" s="15"/>
      <c r="H25" s="15"/>
    </row>
    <row r="26" spans="1:8" x14ac:dyDescent="0.3">
      <c r="A26" s="15">
        <v>1</v>
      </c>
      <c r="B26" s="15">
        <v>10</v>
      </c>
      <c r="C26" s="15"/>
      <c r="D26" s="27"/>
      <c r="E26" s="15"/>
      <c r="F26" s="15"/>
      <c r="G26" s="15"/>
      <c r="H26" s="15"/>
    </row>
    <row r="27" spans="1:8" x14ac:dyDescent="0.3">
      <c r="A27" s="20">
        <v>2</v>
      </c>
      <c r="B27" s="20">
        <v>1</v>
      </c>
      <c r="C27" s="20" t="s">
        <v>117</v>
      </c>
      <c r="D27" s="28">
        <v>1</v>
      </c>
      <c r="E27" s="20"/>
      <c r="F27" s="20" t="s">
        <v>108</v>
      </c>
      <c r="G27" s="20">
        <v>150</v>
      </c>
      <c r="H27" s="20" t="s">
        <v>118</v>
      </c>
    </row>
    <row r="28" spans="1:8" x14ac:dyDescent="0.3">
      <c r="A28" s="20">
        <v>2</v>
      </c>
      <c r="B28" s="20">
        <v>2</v>
      </c>
      <c r="C28" s="20" t="s">
        <v>119</v>
      </c>
      <c r="D28" s="28">
        <v>2</v>
      </c>
      <c r="E28" s="20"/>
      <c r="F28" s="20" t="s">
        <v>120</v>
      </c>
      <c r="G28" s="20"/>
      <c r="H28" s="20" t="s">
        <v>121</v>
      </c>
    </row>
    <row r="29" spans="1:8" x14ac:dyDescent="0.3">
      <c r="A29" s="20">
        <v>2</v>
      </c>
      <c r="B29" s="20">
        <v>3</v>
      </c>
      <c r="C29" s="20" t="s">
        <v>107</v>
      </c>
      <c r="D29" s="28">
        <v>1.5</v>
      </c>
      <c r="E29" s="20"/>
      <c r="F29" s="20" t="s">
        <v>108</v>
      </c>
      <c r="G29" s="20">
        <v>135</v>
      </c>
      <c r="H29" s="20"/>
    </row>
    <row r="30" spans="1:8" x14ac:dyDescent="0.3">
      <c r="A30" s="20">
        <v>2</v>
      </c>
      <c r="B30" s="20">
        <v>4</v>
      </c>
      <c r="C30" s="20" t="s">
        <v>111</v>
      </c>
      <c r="D30" s="28">
        <v>0.5</v>
      </c>
      <c r="E30" s="20"/>
      <c r="F30" s="20" t="s">
        <v>108</v>
      </c>
      <c r="G30" s="20">
        <v>60</v>
      </c>
      <c r="H30" s="20"/>
    </row>
    <row r="31" spans="1:8" x14ac:dyDescent="0.3">
      <c r="A31" s="20">
        <v>2</v>
      </c>
      <c r="B31" s="20">
        <v>5</v>
      </c>
      <c r="C31" s="20" t="s">
        <v>122</v>
      </c>
      <c r="D31" s="28">
        <v>0.25</v>
      </c>
      <c r="E31" s="20"/>
      <c r="F31" s="20" t="s">
        <v>108</v>
      </c>
      <c r="G31" s="20">
        <v>36</v>
      </c>
      <c r="H31" s="20"/>
    </row>
    <row r="32" spans="1:8" x14ac:dyDescent="0.3">
      <c r="A32" s="20">
        <v>2</v>
      </c>
      <c r="B32" s="20">
        <v>6</v>
      </c>
      <c r="C32" s="20" t="s">
        <v>123</v>
      </c>
      <c r="D32" s="28">
        <v>0.5</v>
      </c>
      <c r="E32" s="20"/>
      <c r="F32" s="20" t="s">
        <v>124</v>
      </c>
      <c r="G32" s="20"/>
      <c r="H32" s="20" t="s">
        <v>125</v>
      </c>
    </row>
    <row r="33" spans="1:8" x14ac:dyDescent="0.3">
      <c r="A33" s="20">
        <v>2</v>
      </c>
      <c r="B33" s="20">
        <v>7</v>
      </c>
      <c r="C33" s="20"/>
      <c r="D33" s="28"/>
      <c r="E33" s="20"/>
      <c r="F33" s="20"/>
      <c r="G33" s="20"/>
      <c r="H33" s="20"/>
    </row>
    <row r="34" spans="1:8" x14ac:dyDescent="0.3">
      <c r="A34" s="20">
        <v>2</v>
      </c>
      <c r="B34" s="20">
        <v>8</v>
      </c>
      <c r="C34" s="20"/>
      <c r="D34" s="28"/>
      <c r="E34" s="20"/>
      <c r="F34" s="20"/>
      <c r="G34" s="20"/>
      <c r="H34" s="20"/>
    </row>
    <row r="35" spans="1:8" x14ac:dyDescent="0.3">
      <c r="A35" s="20">
        <v>2</v>
      </c>
      <c r="B35" s="20">
        <v>9</v>
      </c>
      <c r="C35" s="20"/>
      <c r="D35" s="28"/>
      <c r="E35" s="20"/>
      <c r="F35" s="20"/>
      <c r="G35" s="20"/>
      <c r="H35" s="20"/>
    </row>
    <row r="36" spans="1:8" x14ac:dyDescent="0.3">
      <c r="A36" s="20">
        <v>2</v>
      </c>
      <c r="B36" s="20">
        <v>10</v>
      </c>
      <c r="C36" s="20"/>
      <c r="D36" s="28"/>
      <c r="E36" s="20"/>
      <c r="F36" s="20"/>
      <c r="G36" s="20"/>
      <c r="H36" s="20"/>
    </row>
    <row r="37" spans="1:8" x14ac:dyDescent="0.3">
      <c r="A37" s="15">
        <v>3</v>
      </c>
      <c r="B37" s="15">
        <v>1</v>
      </c>
      <c r="C37" s="15" t="s">
        <v>107</v>
      </c>
      <c r="D37" s="27">
        <v>2</v>
      </c>
      <c r="E37" s="15"/>
      <c r="F37" s="15" t="s">
        <v>108</v>
      </c>
      <c r="G37" s="15">
        <v>180</v>
      </c>
      <c r="H37" s="15"/>
    </row>
    <row r="38" spans="1:8" x14ac:dyDescent="0.3">
      <c r="A38" s="15">
        <v>3</v>
      </c>
      <c r="B38" s="15">
        <v>2</v>
      </c>
      <c r="C38" s="15" t="s">
        <v>110</v>
      </c>
      <c r="D38" s="27">
        <v>0.5</v>
      </c>
      <c r="E38" s="15"/>
      <c r="F38" s="15" t="s">
        <v>108</v>
      </c>
      <c r="G38" s="15">
        <v>129</v>
      </c>
      <c r="H38" s="15"/>
    </row>
    <row r="39" spans="1:8" x14ac:dyDescent="0.3">
      <c r="A39" s="15">
        <v>3</v>
      </c>
      <c r="B39" s="15">
        <v>3</v>
      </c>
      <c r="C39" s="15" t="s">
        <v>109</v>
      </c>
      <c r="D39" s="27">
        <v>0.33329999999999999</v>
      </c>
      <c r="E39" s="15"/>
      <c r="F39" s="15" t="s">
        <v>108</v>
      </c>
      <c r="G39" s="15">
        <v>113</v>
      </c>
      <c r="H39" s="15"/>
    </row>
    <row r="40" spans="1:8" x14ac:dyDescent="0.3">
      <c r="A40" s="15">
        <v>3</v>
      </c>
      <c r="B40" s="15">
        <v>4</v>
      </c>
      <c r="C40" s="15" t="s">
        <v>126</v>
      </c>
      <c r="D40" s="27">
        <v>0.33329999999999999</v>
      </c>
      <c r="E40" s="15"/>
      <c r="F40" s="15" t="s">
        <v>108</v>
      </c>
      <c r="G40" s="15">
        <v>60</v>
      </c>
      <c r="H40" s="15"/>
    </row>
    <row r="41" spans="1:8" x14ac:dyDescent="0.3">
      <c r="A41" s="15">
        <v>3</v>
      </c>
      <c r="B41" s="15">
        <v>5</v>
      </c>
      <c r="C41" s="15" t="s">
        <v>127</v>
      </c>
      <c r="D41" s="27">
        <v>0.25</v>
      </c>
      <c r="E41" s="15"/>
      <c r="F41" s="15" t="s">
        <v>108</v>
      </c>
      <c r="G41" s="15">
        <v>30</v>
      </c>
      <c r="H41" s="15"/>
    </row>
    <row r="42" spans="1:8" x14ac:dyDescent="0.3">
      <c r="A42" s="15">
        <v>3</v>
      </c>
      <c r="B42" s="15">
        <v>6</v>
      </c>
      <c r="C42" s="15" t="s">
        <v>114</v>
      </c>
      <c r="D42" s="27">
        <v>1</v>
      </c>
      <c r="E42" s="15"/>
      <c r="F42" s="15" t="s">
        <v>115</v>
      </c>
      <c r="G42" s="15"/>
      <c r="H42" s="15" t="s">
        <v>116</v>
      </c>
    </row>
    <row r="43" spans="1:8" x14ac:dyDescent="0.3">
      <c r="A43" s="15">
        <v>3</v>
      </c>
      <c r="B43" s="15">
        <v>7</v>
      </c>
      <c r="C43" s="15"/>
      <c r="D43" s="27"/>
      <c r="E43" s="15"/>
      <c r="F43" s="15"/>
      <c r="G43" s="15"/>
      <c r="H43" s="15"/>
    </row>
    <row r="44" spans="1:8" x14ac:dyDescent="0.3">
      <c r="A44" s="15">
        <v>3</v>
      </c>
      <c r="B44" s="15">
        <v>8</v>
      </c>
      <c r="C44" s="15"/>
      <c r="D44" s="27"/>
      <c r="E44" s="15"/>
      <c r="F44" s="15"/>
      <c r="G44" s="15"/>
      <c r="H44" s="15"/>
    </row>
    <row r="45" spans="1:8" x14ac:dyDescent="0.3">
      <c r="A45" s="15">
        <v>3</v>
      </c>
      <c r="B45" s="15">
        <v>9</v>
      </c>
      <c r="C45" s="15"/>
      <c r="D45" s="27"/>
      <c r="E45" s="15"/>
      <c r="F45" s="15"/>
      <c r="G45" s="15"/>
      <c r="H45" s="15"/>
    </row>
    <row r="46" spans="1:8" x14ac:dyDescent="0.3">
      <c r="A46" s="15">
        <v>3</v>
      </c>
      <c r="B46" s="15">
        <v>10</v>
      </c>
      <c r="C46" s="15"/>
      <c r="D46" s="27"/>
      <c r="E46" s="15"/>
      <c r="F46" s="15"/>
      <c r="G46" s="15"/>
      <c r="H46" s="15"/>
    </row>
    <row r="47" spans="1:8" x14ac:dyDescent="0.3">
      <c r="A47" s="20">
        <v>4</v>
      </c>
      <c r="B47" s="20">
        <v>1</v>
      </c>
      <c r="C47" s="20" t="s">
        <v>107</v>
      </c>
      <c r="D47" s="28">
        <v>1</v>
      </c>
      <c r="E47" s="20"/>
      <c r="F47" s="20" t="s">
        <v>108</v>
      </c>
      <c r="G47" s="20">
        <v>90</v>
      </c>
      <c r="H47" s="20"/>
    </row>
    <row r="48" spans="1:8" x14ac:dyDescent="0.3">
      <c r="A48" s="20">
        <v>4</v>
      </c>
      <c r="B48" s="20">
        <v>2</v>
      </c>
      <c r="C48" s="20" t="s">
        <v>128</v>
      </c>
      <c r="D48" s="28">
        <v>1</v>
      </c>
      <c r="E48" s="20"/>
      <c r="F48" s="20" t="s">
        <v>108</v>
      </c>
      <c r="G48" s="20">
        <v>30</v>
      </c>
      <c r="H48" s="20"/>
    </row>
    <row r="49" spans="1:8" x14ac:dyDescent="0.3">
      <c r="A49" s="20">
        <v>4</v>
      </c>
      <c r="B49" s="20">
        <v>3</v>
      </c>
      <c r="C49" s="20" t="s">
        <v>129</v>
      </c>
      <c r="D49" s="28">
        <v>0.5</v>
      </c>
      <c r="E49" s="20"/>
      <c r="F49" s="20" t="s">
        <v>108</v>
      </c>
      <c r="G49" s="20">
        <v>60</v>
      </c>
      <c r="H49" s="20"/>
    </row>
    <row r="50" spans="1:8" x14ac:dyDescent="0.3">
      <c r="A50" s="20">
        <v>4</v>
      </c>
      <c r="B50" s="20">
        <v>4</v>
      </c>
      <c r="C50" s="20" t="s">
        <v>130</v>
      </c>
      <c r="D50" s="28">
        <v>0.5</v>
      </c>
      <c r="E50" s="20"/>
      <c r="F50" s="20" t="s">
        <v>108</v>
      </c>
      <c r="G50" s="20">
        <v>60</v>
      </c>
      <c r="H50" s="20"/>
    </row>
    <row r="51" spans="1:8" x14ac:dyDescent="0.3">
      <c r="A51" s="20">
        <v>4</v>
      </c>
      <c r="B51" s="20">
        <v>5</v>
      </c>
      <c r="C51" s="20" t="s">
        <v>131</v>
      </c>
      <c r="D51" s="28">
        <v>0.33329999999999999</v>
      </c>
      <c r="E51" s="20"/>
      <c r="F51" s="20" t="s">
        <v>108</v>
      </c>
      <c r="G51" s="20">
        <v>48</v>
      </c>
      <c r="H51" s="20"/>
    </row>
    <row r="52" spans="1:8" x14ac:dyDescent="0.3">
      <c r="A52" s="20">
        <v>4</v>
      </c>
      <c r="B52" s="20">
        <v>6</v>
      </c>
      <c r="C52" s="20" t="s">
        <v>109</v>
      </c>
      <c r="D52" s="28">
        <v>0.5</v>
      </c>
      <c r="E52" s="20"/>
      <c r="F52" s="20" t="s">
        <v>108</v>
      </c>
      <c r="G52" s="20">
        <v>170</v>
      </c>
      <c r="H52" s="20"/>
    </row>
    <row r="53" spans="1:8" x14ac:dyDescent="0.3">
      <c r="A53" s="20">
        <v>4</v>
      </c>
      <c r="B53" s="20">
        <v>7</v>
      </c>
      <c r="C53" s="20" t="s">
        <v>110</v>
      </c>
      <c r="D53" s="28">
        <v>2</v>
      </c>
      <c r="E53" s="20"/>
      <c r="F53" s="20" t="s">
        <v>120</v>
      </c>
      <c r="G53" s="20">
        <v>32</v>
      </c>
      <c r="H53" s="20"/>
    </row>
    <row r="54" spans="1:8" x14ac:dyDescent="0.3">
      <c r="A54" s="20">
        <v>4</v>
      </c>
      <c r="B54" s="20">
        <v>8</v>
      </c>
      <c r="C54" s="20" t="s">
        <v>132</v>
      </c>
      <c r="D54" s="28">
        <v>1</v>
      </c>
      <c r="E54" s="20"/>
      <c r="F54" s="20" t="s">
        <v>113</v>
      </c>
      <c r="G54" s="20"/>
      <c r="H54" s="20"/>
    </row>
    <row r="55" spans="1:8" x14ac:dyDescent="0.3">
      <c r="A55" s="20">
        <v>4</v>
      </c>
      <c r="B55" s="20">
        <v>9</v>
      </c>
      <c r="C55" s="20"/>
      <c r="D55" s="28"/>
      <c r="E55" s="20"/>
      <c r="F55" s="20"/>
      <c r="G55" s="20"/>
      <c r="H55" s="20"/>
    </row>
    <row r="56" spans="1:8" x14ac:dyDescent="0.3">
      <c r="A56" s="20">
        <v>4</v>
      </c>
      <c r="B56" s="20">
        <v>10</v>
      </c>
      <c r="C56" s="20"/>
      <c r="D56" s="28"/>
      <c r="E56" s="20"/>
      <c r="F56" s="20"/>
      <c r="G56" s="20"/>
      <c r="H56" s="20"/>
    </row>
    <row r="57" spans="1:8" x14ac:dyDescent="0.3">
      <c r="A57" s="15">
        <v>5</v>
      </c>
      <c r="B57" s="15">
        <v>1</v>
      </c>
      <c r="C57" s="15" t="s">
        <v>107</v>
      </c>
      <c r="D57" s="27">
        <v>1.5</v>
      </c>
      <c r="E57" s="15"/>
      <c r="F57" s="15" t="s">
        <v>108</v>
      </c>
      <c r="G57" s="15">
        <v>135</v>
      </c>
      <c r="H57" s="15"/>
    </row>
    <row r="58" spans="1:8" x14ac:dyDescent="0.3">
      <c r="A58" s="15">
        <v>5</v>
      </c>
      <c r="B58" s="15">
        <v>2</v>
      </c>
      <c r="C58" s="15" t="s">
        <v>133</v>
      </c>
      <c r="D58" s="27">
        <v>0.5</v>
      </c>
      <c r="E58" s="15"/>
      <c r="F58" s="15" t="s">
        <v>108</v>
      </c>
      <c r="G58" s="15">
        <v>60</v>
      </c>
      <c r="H58" s="15"/>
    </row>
    <row r="59" spans="1:8" x14ac:dyDescent="0.3">
      <c r="A59" s="15">
        <v>5</v>
      </c>
      <c r="B59" s="15">
        <v>3</v>
      </c>
      <c r="C59" s="15" t="s">
        <v>134</v>
      </c>
      <c r="D59" s="27">
        <v>1</v>
      </c>
      <c r="E59" s="15"/>
      <c r="F59" s="15" t="s">
        <v>135</v>
      </c>
      <c r="G59" s="15"/>
      <c r="H59" s="15" t="s">
        <v>136</v>
      </c>
    </row>
    <row r="60" spans="1:8" x14ac:dyDescent="0.3">
      <c r="A60" s="15">
        <v>5</v>
      </c>
      <c r="B60" s="15">
        <v>4</v>
      </c>
      <c r="C60" s="15" t="s">
        <v>137</v>
      </c>
      <c r="D60" s="27">
        <v>1</v>
      </c>
      <c r="E60" s="15"/>
      <c r="F60" s="15" t="s">
        <v>135</v>
      </c>
      <c r="G60" s="15"/>
      <c r="H60" s="15" t="s">
        <v>136</v>
      </c>
    </row>
    <row r="61" spans="1:8" x14ac:dyDescent="0.3">
      <c r="A61" s="15">
        <v>5</v>
      </c>
      <c r="B61" s="15">
        <v>5</v>
      </c>
      <c r="C61" s="15" t="s">
        <v>138</v>
      </c>
      <c r="D61" s="27">
        <v>3</v>
      </c>
      <c r="E61" s="15"/>
      <c r="F61" s="15" t="s">
        <v>120</v>
      </c>
      <c r="G61" s="15"/>
      <c r="H61" s="15"/>
    </row>
    <row r="62" spans="1:8" x14ac:dyDescent="0.3">
      <c r="A62" s="15">
        <v>5</v>
      </c>
      <c r="B62" s="15">
        <v>6</v>
      </c>
      <c r="C62" s="15" t="s">
        <v>132</v>
      </c>
      <c r="D62" s="27">
        <v>1</v>
      </c>
      <c r="E62" s="15"/>
      <c r="F62" s="15" t="s">
        <v>113</v>
      </c>
      <c r="G62" s="15"/>
      <c r="H62" s="15"/>
    </row>
    <row r="63" spans="1:8" x14ac:dyDescent="0.3">
      <c r="A63" s="15">
        <v>5</v>
      </c>
      <c r="B63" s="15">
        <v>7</v>
      </c>
      <c r="C63" s="15" t="s">
        <v>139</v>
      </c>
      <c r="D63" s="27">
        <v>8</v>
      </c>
      <c r="E63" s="15">
        <v>10</v>
      </c>
      <c r="F63" s="15" t="s">
        <v>140</v>
      </c>
      <c r="G63" s="15"/>
      <c r="H63" s="15" t="s">
        <v>141</v>
      </c>
    </row>
    <row r="64" spans="1:8" x14ac:dyDescent="0.3">
      <c r="A64" s="15">
        <v>5</v>
      </c>
      <c r="B64" s="15">
        <v>8</v>
      </c>
      <c r="C64" s="15" t="s">
        <v>126</v>
      </c>
      <c r="D64" s="27">
        <v>0.5</v>
      </c>
      <c r="E64" s="15"/>
      <c r="F64" s="15" t="s">
        <v>108</v>
      </c>
      <c r="G64" s="15">
        <v>85</v>
      </c>
      <c r="H64" s="15" t="s">
        <v>125</v>
      </c>
    </row>
    <row r="65" spans="1:8" x14ac:dyDescent="0.3">
      <c r="A65" s="15">
        <v>5</v>
      </c>
      <c r="B65" s="15">
        <v>9</v>
      </c>
      <c r="C65" s="15"/>
      <c r="D65" s="27"/>
      <c r="E65" s="15"/>
      <c r="F65" s="15"/>
      <c r="G65" s="15"/>
      <c r="H65" s="15"/>
    </row>
    <row r="66" spans="1:8" x14ac:dyDescent="0.3">
      <c r="A66" s="15">
        <v>5</v>
      </c>
      <c r="B66" s="15">
        <v>10</v>
      </c>
      <c r="C66" s="15"/>
      <c r="D66" s="27"/>
      <c r="E66" s="15"/>
      <c r="F66" s="15"/>
      <c r="G66" s="15"/>
      <c r="H66" s="15"/>
    </row>
    <row r="67" spans="1:8" ht="28.8" x14ac:dyDescent="0.3">
      <c r="A67" s="20">
        <v>6</v>
      </c>
      <c r="B67" s="20">
        <v>1</v>
      </c>
      <c r="C67" s="20" t="s">
        <v>142</v>
      </c>
      <c r="D67" s="28">
        <v>2</v>
      </c>
      <c r="E67" s="20"/>
      <c r="F67" s="20" t="s">
        <v>135</v>
      </c>
      <c r="G67" s="20"/>
      <c r="H67" s="20" t="s">
        <v>143</v>
      </c>
    </row>
    <row r="68" spans="1:8" x14ac:dyDescent="0.3">
      <c r="A68" s="20">
        <v>6</v>
      </c>
      <c r="B68" s="20">
        <v>2</v>
      </c>
      <c r="C68" s="20" t="s">
        <v>144</v>
      </c>
      <c r="D68" s="28">
        <v>2</v>
      </c>
      <c r="E68" s="20"/>
      <c r="F68" s="20" t="s">
        <v>135</v>
      </c>
      <c r="G68" s="20"/>
      <c r="H68" s="20" t="s">
        <v>136</v>
      </c>
    </row>
    <row r="69" spans="1:8" x14ac:dyDescent="0.3">
      <c r="A69" s="20">
        <v>6</v>
      </c>
      <c r="B69" s="20">
        <v>3</v>
      </c>
      <c r="C69" s="20" t="s">
        <v>138</v>
      </c>
      <c r="D69" s="28">
        <v>0.5</v>
      </c>
      <c r="E69" s="20"/>
      <c r="F69" s="20" t="s">
        <v>108</v>
      </c>
      <c r="G69" s="20"/>
      <c r="H69" s="20"/>
    </row>
    <row r="70" spans="1:8" x14ac:dyDescent="0.3">
      <c r="A70" s="20">
        <v>6</v>
      </c>
      <c r="B70" s="20">
        <v>4</v>
      </c>
      <c r="C70" s="20" t="s">
        <v>109</v>
      </c>
      <c r="D70" s="28">
        <v>0.33329999999999999</v>
      </c>
      <c r="E70" s="20"/>
      <c r="F70" s="20" t="s">
        <v>108</v>
      </c>
      <c r="G70" s="20">
        <v>113</v>
      </c>
      <c r="H70" s="20"/>
    </row>
    <row r="71" spans="1:8" x14ac:dyDescent="0.3">
      <c r="A71" s="20">
        <v>6</v>
      </c>
      <c r="B71" s="20">
        <v>5</v>
      </c>
      <c r="C71" s="20" t="s">
        <v>133</v>
      </c>
      <c r="D71" s="28">
        <v>1.5</v>
      </c>
      <c r="E71" s="20"/>
      <c r="F71" s="20" t="s">
        <v>108</v>
      </c>
      <c r="G71" s="20">
        <v>180</v>
      </c>
      <c r="H71" s="20"/>
    </row>
    <row r="72" spans="1:8" x14ac:dyDescent="0.3">
      <c r="A72" s="20">
        <v>6</v>
      </c>
      <c r="B72" s="20">
        <v>6</v>
      </c>
      <c r="C72" s="20" t="s">
        <v>145</v>
      </c>
      <c r="D72" s="28">
        <v>1</v>
      </c>
      <c r="E72" s="20"/>
      <c r="F72" s="20" t="s">
        <v>113</v>
      </c>
      <c r="G72" s="20"/>
      <c r="H72" s="20"/>
    </row>
    <row r="73" spans="1:8" x14ac:dyDescent="0.3">
      <c r="A73" s="20">
        <v>6</v>
      </c>
      <c r="B73" s="20">
        <v>7</v>
      </c>
      <c r="C73" s="20" t="s">
        <v>132</v>
      </c>
      <c r="D73" s="28">
        <v>1</v>
      </c>
      <c r="E73" s="20"/>
      <c r="F73" s="20" t="s">
        <v>113</v>
      </c>
      <c r="G73" s="20"/>
      <c r="H73" s="20"/>
    </row>
    <row r="74" spans="1:8" x14ac:dyDescent="0.3">
      <c r="A74" s="20">
        <v>6</v>
      </c>
      <c r="B74" s="20">
        <v>8</v>
      </c>
      <c r="C74" s="20" t="s">
        <v>130</v>
      </c>
      <c r="D74" s="28">
        <v>0.5</v>
      </c>
      <c r="E74" s="20"/>
      <c r="F74" s="20" t="s">
        <v>108</v>
      </c>
      <c r="G74" s="20">
        <v>60</v>
      </c>
      <c r="H74" s="20" t="s">
        <v>125</v>
      </c>
    </row>
    <row r="75" spans="1:8" x14ac:dyDescent="0.3">
      <c r="A75" s="20">
        <v>6</v>
      </c>
      <c r="B75" s="20">
        <v>9</v>
      </c>
      <c r="C75" s="20"/>
      <c r="D75" s="28"/>
      <c r="E75" s="20"/>
      <c r="F75" s="20"/>
      <c r="G75" s="20"/>
      <c r="H75" s="20"/>
    </row>
    <row r="76" spans="1:8" x14ac:dyDescent="0.3">
      <c r="A76" s="20">
        <v>6</v>
      </c>
      <c r="B76" s="20">
        <v>10</v>
      </c>
      <c r="C76" s="20"/>
      <c r="D76" s="28"/>
      <c r="E76" s="20"/>
      <c r="F76" s="20"/>
      <c r="G76" s="20"/>
      <c r="H76" s="20"/>
    </row>
    <row r="77" spans="1:8" x14ac:dyDescent="0.3">
      <c r="A77" s="15">
        <v>7</v>
      </c>
      <c r="B77" s="15">
        <v>1</v>
      </c>
      <c r="C77" s="15" t="s">
        <v>117</v>
      </c>
      <c r="D77" s="27">
        <v>1</v>
      </c>
      <c r="E77" s="15"/>
      <c r="F77" s="15" t="s">
        <v>108</v>
      </c>
      <c r="G77" s="15">
        <v>150</v>
      </c>
      <c r="H77" s="15" t="s">
        <v>118</v>
      </c>
    </row>
    <row r="78" spans="1:8" x14ac:dyDescent="0.3">
      <c r="A78" s="15">
        <v>7</v>
      </c>
      <c r="B78" s="15">
        <v>2</v>
      </c>
      <c r="C78" s="15" t="s">
        <v>107</v>
      </c>
      <c r="D78" s="27">
        <v>1</v>
      </c>
      <c r="E78" s="15"/>
      <c r="F78" s="15" t="s">
        <v>108</v>
      </c>
      <c r="G78" s="15">
        <v>90</v>
      </c>
      <c r="H78" s="15"/>
    </row>
    <row r="79" spans="1:8" x14ac:dyDescent="0.3">
      <c r="A79" s="15">
        <v>7</v>
      </c>
      <c r="B79" s="15">
        <v>3</v>
      </c>
      <c r="C79" s="15" t="s">
        <v>146</v>
      </c>
      <c r="D79" s="27">
        <v>0.25</v>
      </c>
      <c r="E79" s="15"/>
      <c r="F79" s="15" t="s">
        <v>108</v>
      </c>
      <c r="G79" s="15">
        <v>25</v>
      </c>
      <c r="H79" s="15"/>
    </row>
    <row r="80" spans="1:8" x14ac:dyDescent="0.3">
      <c r="A80" s="15">
        <v>7</v>
      </c>
      <c r="B80" s="15">
        <v>4</v>
      </c>
      <c r="C80" s="15" t="s">
        <v>110</v>
      </c>
      <c r="D80" s="27">
        <v>2</v>
      </c>
      <c r="E80" s="15"/>
      <c r="F80" s="15" t="s">
        <v>120</v>
      </c>
      <c r="G80" s="15">
        <v>32</v>
      </c>
      <c r="H80" s="15"/>
    </row>
    <row r="81" spans="1:8" x14ac:dyDescent="0.3">
      <c r="A81" s="15">
        <v>7</v>
      </c>
      <c r="B81" s="15">
        <v>5</v>
      </c>
      <c r="C81" s="15" t="s">
        <v>119</v>
      </c>
      <c r="D81" s="27">
        <v>1</v>
      </c>
      <c r="E81" s="15"/>
      <c r="F81" s="15" t="s">
        <v>120</v>
      </c>
      <c r="G81" s="15"/>
      <c r="H81" s="15" t="s">
        <v>147</v>
      </c>
    </row>
    <row r="82" spans="1:8" x14ac:dyDescent="0.3">
      <c r="A82" s="15">
        <v>7</v>
      </c>
      <c r="B82" s="15">
        <v>6</v>
      </c>
      <c r="C82" s="15" t="s">
        <v>148</v>
      </c>
      <c r="D82" s="27"/>
      <c r="E82" s="15"/>
      <c r="F82" s="15"/>
      <c r="G82" s="15"/>
      <c r="H82" s="15" t="s">
        <v>149</v>
      </c>
    </row>
    <row r="83" spans="1:8" x14ac:dyDescent="0.3">
      <c r="A83" s="15">
        <v>7</v>
      </c>
      <c r="B83" s="15">
        <v>7</v>
      </c>
      <c r="C83" s="15"/>
      <c r="D83" s="27"/>
      <c r="E83" s="15"/>
      <c r="F83" s="15"/>
      <c r="G83" s="15"/>
      <c r="H83" s="15"/>
    </row>
    <row r="84" spans="1:8" x14ac:dyDescent="0.3">
      <c r="A84" s="15">
        <v>7</v>
      </c>
      <c r="B84" s="15">
        <v>8</v>
      </c>
      <c r="C84" s="15"/>
      <c r="D84" s="27"/>
      <c r="E84" s="15"/>
      <c r="F84" s="15"/>
      <c r="G84" s="15"/>
      <c r="H84" s="15"/>
    </row>
    <row r="85" spans="1:8" x14ac:dyDescent="0.3">
      <c r="A85" s="15">
        <v>7</v>
      </c>
      <c r="B85" s="15">
        <v>9</v>
      </c>
      <c r="C85" s="15"/>
      <c r="D85" s="27"/>
      <c r="E85" s="15"/>
      <c r="F85" s="15"/>
      <c r="G85" s="15"/>
      <c r="H85" s="15"/>
    </row>
    <row r="86" spans="1:8" x14ac:dyDescent="0.3">
      <c r="A86" s="15">
        <v>7</v>
      </c>
      <c r="B86" s="15">
        <v>10</v>
      </c>
      <c r="C86" s="15"/>
      <c r="D86" s="27"/>
      <c r="E86" s="15"/>
      <c r="F86" s="15"/>
      <c r="G86" s="15"/>
      <c r="H86" s="15"/>
    </row>
    <row r="87" spans="1:8" x14ac:dyDescent="0.3">
      <c r="A87" s="20">
        <v>8</v>
      </c>
      <c r="B87" s="20">
        <v>1</v>
      </c>
      <c r="C87" s="20" t="s">
        <v>150</v>
      </c>
      <c r="D87" s="28">
        <v>4</v>
      </c>
      <c r="E87" s="20"/>
      <c r="F87" s="20" t="s">
        <v>108</v>
      </c>
      <c r="G87" s="20"/>
      <c r="H87" s="20"/>
    </row>
    <row r="88" spans="1:8" x14ac:dyDescent="0.3">
      <c r="A88" s="20">
        <v>8</v>
      </c>
      <c r="B88" s="20">
        <v>2</v>
      </c>
      <c r="C88" s="20" t="s">
        <v>117</v>
      </c>
      <c r="D88" s="28">
        <v>6</v>
      </c>
      <c r="E88" s="20">
        <v>8</v>
      </c>
      <c r="F88" s="20" t="s">
        <v>135</v>
      </c>
      <c r="G88" s="20"/>
      <c r="H88" s="20" t="s">
        <v>118</v>
      </c>
    </row>
    <row r="89" spans="1:8" x14ac:dyDescent="0.3">
      <c r="A89" s="20">
        <v>8</v>
      </c>
      <c r="B89" s="20">
        <v>3</v>
      </c>
      <c r="C89" s="20" t="s">
        <v>151</v>
      </c>
      <c r="D89" s="28">
        <v>1</v>
      </c>
      <c r="E89" s="20"/>
      <c r="F89" s="20" t="s">
        <v>152</v>
      </c>
      <c r="G89" s="20"/>
      <c r="H89" s="20" t="s">
        <v>125</v>
      </c>
    </row>
    <row r="90" spans="1:8" x14ac:dyDescent="0.3">
      <c r="A90" s="20">
        <v>8</v>
      </c>
      <c r="B90" s="20">
        <v>4</v>
      </c>
      <c r="C90" s="20" t="s">
        <v>153</v>
      </c>
      <c r="D90" s="28">
        <v>2</v>
      </c>
      <c r="E90" s="20"/>
      <c r="F90" s="20" t="s">
        <v>120</v>
      </c>
      <c r="G90" s="20"/>
      <c r="H90" s="20"/>
    </row>
    <row r="91" spans="1:8" x14ac:dyDescent="0.3">
      <c r="A91" s="20">
        <v>8</v>
      </c>
      <c r="B91" s="20">
        <v>5</v>
      </c>
      <c r="C91" s="20" t="s">
        <v>109</v>
      </c>
      <c r="D91" s="28">
        <v>0.5</v>
      </c>
      <c r="E91" s="20"/>
      <c r="F91" s="20" t="s">
        <v>108</v>
      </c>
      <c r="G91" s="20">
        <v>170</v>
      </c>
      <c r="H91" s="20" t="s">
        <v>154</v>
      </c>
    </row>
    <row r="92" spans="1:8" x14ac:dyDescent="0.3">
      <c r="A92" s="20">
        <v>8</v>
      </c>
      <c r="B92" s="20">
        <v>6</v>
      </c>
      <c r="C92" s="20" t="s">
        <v>110</v>
      </c>
      <c r="D92" s="28">
        <v>0.5</v>
      </c>
      <c r="E92" s="20"/>
      <c r="F92" s="20" t="s">
        <v>108</v>
      </c>
      <c r="G92" s="20">
        <v>129</v>
      </c>
      <c r="H92" s="20" t="s">
        <v>154</v>
      </c>
    </row>
    <row r="93" spans="1:8" x14ac:dyDescent="0.3">
      <c r="A93" s="20">
        <v>8</v>
      </c>
      <c r="B93" s="20">
        <v>7</v>
      </c>
      <c r="C93" s="20"/>
      <c r="D93" s="28"/>
      <c r="E93" s="20"/>
      <c r="F93" s="20"/>
      <c r="G93" s="20"/>
      <c r="H93" s="20"/>
    </row>
    <row r="94" spans="1:8" x14ac:dyDescent="0.3">
      <c r="A94" s="20">
        <v>8</v>
      </c>
      <c r="B94" s="20">
        <v>8</v>
      </c>
      <c r="C94" s="20"/>
      <c r="D94" s="28"/>
      <c r="E94" s="20"/>
      <c r="F94" s="20"/>
      <c r="G94" s="20"/>
      <c r="H94" s="20"/>
    </row>
    <row r="95" spans="1:8" x14ac:dyDescent="0.3">
      <c r="A95" s="20">
        <v>8</v>
      </c>
      <c r="B95" s="20">
        <v>9</v>
      </c>
      <c r="C95" s="20"/>
      <c r="D95" s="28"/>
      <c r="E95" s="20"/>
      <c r="F95" s="20"/>
      <c r="G95" s="20"/>
      <c r="H95" s="20"/>
    </row>
    <row r="96" spans="1:8" x14ac:dyDescent="0.3">
      <c r="A96" s="20">
        <v>8</v>
      </c>
      <c r="B96" s="20">
        <v>10</v>
      </c>
      <c r="C96" s="20"/>
      <c r="D96" s="28"/>
      <c r="E96" s="20"/>
      <c r="F96" s="20"/>
      <c r="G96" s="20"/>
      <c r="H96" s="20"/>
    </row>
    <row r="97" spans="1:8" x14ac:dyDescent="0.3">
      <c r="A97" s="15">
        <v>9</v>
      </c>
      <c r="B97" s="15">
        <v>1</v>
      </c>
      <c r="C97" s="26"/>
      <c r="D97" s="29"/>
      <c r="E97" s="26"/>
      <c r="F97" s="26"/>
      <c r="G97" s="26"/>
      <c r="H97" s="26"/>
    </row>
    <row r="98" spans="1:8" x14ac:dyDescent="0.3">
      <c r="A98" s="15">
        <v>9</v>
      </c>
      <c r="B98" s="15">
        <v>2</v>
      </c>
      <c r="C98" s="26"/>
      <c r="D98" s="29"/>
      <c r="E98" s="26"/>
      <c r="F98" s="26"/>
      <c r="G98" s="26"/>
      <c r="H98" s="26"/>
    </row>
    <row r="99" spans="1:8" x14ac:dyDescent="0.3">
      <c r="A99" s="15">
        <v>9</v>
      </c>
      <c r="B99" s="15">
        <v>3</v>
      </c>
      <c r="C99" s="26"/>
      <c r="D99" s="29"/>
      <c r="E99" s="26"/>
      <c r="F99" s="26"/>
      <c r="G99" s="26"/>
      <c r="H99" s="26"/>
    </row>
    <row r="100" spans="1:8" x14ac:dyDescent="0.3">
      <c r="A100" s="15">
        <v>9</v>
      </c>
      <c r="B100" s="15">
        <v>4</v>
      </c>
      <c r="C100" s="26"/>
      <c r="D100" s="29"/>
      <c r="E100" s="26"/>
      <c r="F100" s="26"/>
      <c r="G100" s="26"/>
      <c r="H100" s="26"/>
    </row>
    <row r="101" spans="1:8" x14ac:dyDescent="0.3">
      <c r="A101" s="15">
        <v>9</v>
      </c>
      <c r="B101" s="15">
        <v>5</v>
      </c>
      <c r="C101" s="26"/>
      <c r="D101" s="29"/>
      <c r="E101" s="26"/>
      <c r="F101" s="26"/>
      <c r="G101" s="26"/>
      <c r="H101" s="26"/>
    </row>
    <row r="102" spans="1:8" x14ac:dyDescent="0.3">
      <c r="A102" s="15">
        <v>9</v>
      </c>
      <c r="B102" s="15">
        <v>6</v>
      </c>
      <c r="C102" s="26"/>
      <c r="D102" s="29"/>
      <c r="E102" s="26"/>
      <c r="F102" s="26"/>
      <c r="G102" s="26"/>
      <c r="H102" s="26"/>
    </row>
    <row r="103" spans="1:8" x14ac:dyDescent="0.3">
      <c r="A103" s="15">
        <v>9</v>
      </c>
      <c r="B103" s="15">
        <v>7</v>
      </c>
      <c r="C103" s="26"/>
      <c r="D103" s="29"/>
      <c r="E103" s="26"/>
      <c r="F103" s="26"/>
      <c r="G103" s="26"/>
      <c r="H103" s="26"/>
    </row>
    <row r="104" spans="1:8" x14ac:dyDescent="0.3">
      <c r="A104" s="15">
        <v>9</v>
      </c>
      <c r="B104" s="15">
        <v>8</v>
      </c>
      <c r="C104" s="26"/>
      <c r="D104" s="29"/>
      <c r="E104" s="26"/>
      <c r="F104" s="26"/>
      <c r="G104" s="26"/>
      <c r="H104" s="26"/>
    </row>
    <row r="105" spans="1:8" x14ac:dyDescent="0.3">
      <c r="A105" s="15">
        <v>9</v>
      </c>
      <c r="B105" s="15">
        <v>9</v>
      </c>
      <c r="C105" s="26"/>
      <c r="D105" s="29"/>
      <c r="E105" s="26"/>
      <c r="F105" s="26"/>
      <c r="G105" s="26"/>
      <c r="H105" s="26"/>
    </row>
    <row r="106" spans="1:8" x14ac:dyDescent="0.3">
      <c r="A106" s="15">
        <v>9</v>
      </c>
      <c r="B106" s="15">
        <v>10</v>
      </c>
      <c r="C106" s="26"/>
      <c r="D106" s="29"/>
      <c r="E106" s="26"/>
      <c r="F106" s="26"/>
      <c r="G106" s="26"/>
      <c r="H106" s="2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Instrukcja</vt:lpstr>
      <vt:lpstr>Kalkulator</vt:lpstr>
      <vt:lpstr>Przepisy</vt:lpstr>
      <vt:lpstr>Kalkulator!Área_de_impresión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Vetrugno</cp:lastModifiedBy>
  <dcterms:created xsi:type="dcterms:W3CDTF">2026-10-09T14:08:14Z</dcterms:created>
  <dcterms:modified xsi:type="dcterms:W3CDTF">2026-10-09T14:08:30Z</dcterms:modified>
</cp:coreProperties>
</file>