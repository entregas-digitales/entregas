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alculadora" sheetId="2" state="visible" r:id="rId2"/>
    <sheet xmlns:r="http://schemas.openxmlformats.org/officeDocument/2006/relationships" name="Receitas" sheetId="3" state="visible" r:id="rId3"/>
  </sheets>
  <definedNames>
    <definedName name="_xlnm.Print_Area" localSheetId="1">'Calculadora'!$A$1:$L$27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&quot;×&quot;"/>
  </numFmts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i val="1"/>
      <color rgb="FF555555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color rgb="FFB00000"/>
      <sz val="11"/>
    </font>
  </fonts>
  <fills count="6">
    <fill>
      <patternFill/>
    </fill>
    <fill>
      <patternFill patternType="gray125"/>
    </fill>
    <fill>
      <patternFill patternType="solid">
        <fgColor rgb="FFFFF6B3"/>
      </patternFill>
    </fill>
    <fill>
      <patternFill patternType="solid">
        <fgColor rgb="FF0B0B0B"/>
      </patternFill>
    </fill>
    <fill>
      <patternFill patternType="solid">
        <fgColor rgb="FFF6F5F1"/>
      </patternFill>
    </fill>
    <fill>
      <patternFill patternType="solid">
        <fgColor rgb="FF4A6B00"/>
      </patternFill>
    </fill>
  </fills>
  <borders count="6">
    <border>
      <left/>
      <right/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 style="thin">
        <color rgb="FFD9D6CC"/>
      </bottom>
      <diagonal/>
    </border>
    <border>
      <left/>
      <right/>
      <top style="thin">
        <color rgb="FFD9D6CC"/>
      </top>
      <bottom style="thin">
        <color rgb="FFD9D6CC"/>
      </bottom>
      <diagonal/>
    </border>
    <border>
      <left/>
      <right style="thin">
        <color rgb="FFD9D6CC"/>
      </right>
      <top style="thin">
        <color rgb="FFD9D6CC"/>
      </top>
      <bottom style="thin">
        <color rgb="FFD9D6CC"/>
      </bottom>
      <diagonal/>
    </border>
    <border>
      <left/>
      <right/>
      <top style="thin">
        <color rgb="FFD9D6CC"/>
      </top>
      <bottom/>
      <diagonal/>
    </border>
    <border>
      <left/>
      <right style="thin">
        <color rgb="FFD9D6CC"/>
      </right>
      <top style="thin">
        <color rgb="FFD9D6CC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 wrapText="1"/>
    </xf>
    <xf numFmtId="0" fontId="3" fillId="2" borderId="1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2" fontId="0" fillId="0" borderId="1" applyAlignment="1" pivotButton="0" quotePrefix="0" xfId="0">
      <alignment vertical="top"/>
    </xf>
    <xf numFmtId="12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2" fontId="0" fillId="4" borderId="1" applyAlignment="1" pivotButton="0" quotePrefix="0" xfId="0">
      <alignment vertical="top"/>
    </xf>
    <xf numFmtId="12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2" fontId="0" fillId="0" borderId="1" applyAlignment="1" pivotButton="0" quotePrefix="0" xfId="0">
      <alignment vertical="top" wrapText="1"/>
    </xf>
    <xf numFmtId="12" fontId="0" fillId="4" borderId="1" applyAlignment="1" pivotButton="0" quotePrefix="0" xfId="0">
      <alignment vertical="top" wrapText="1"/>
    </xf>
    <xf numFmtId="12" fontId="0" fillId="2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10" defaultColWidth="8.88671875" defaultRowHeight="14.4"/>
  <cols>
    <col width="4" customWidth="1" style="30" min="1" max="1"/>
    <col width="110" customWidth="1" style="30" min="2" max="2"/>
  </cols>
  <sheetData>
    <row r="1" ht="23.4" customHeight="1" s="30">
      <c r="B1" s="1" t="inlineStr">
        <is>
          <t>Calculadora de Fornadas · SOS Barras™</t>
        </is>
      </c>
    </row>
    <row r="2">
      <c r="B2" s="2" t="inlineStr">
        <is>
          <t>Calcula os ingredientes da receita para as unidades de que precisas. Sem contas no papel.</t>
        </is>
      </c>
    </row>
    <row r="3">
      <c r="B3" s="31" t="n"/>
    </row>
    <row r="4">
      <c r="B4" s="4" t="inlineStr">
        <is>
          <t>COMO USAR (3 passos)</t>
        </is>
      </c>
    </row>
    <row r="5">
      <c r="B5" s="31" t="inlineStr">
        <is>
          <t>1. Vai à folha «Calculadora».</t>
        </is>
      </c>
    </row>
    <row r="6">
      <c r="B6" s="31" t="inlineStr">
        <is>
          <t>2. Na célula amarela «Escolhe a receita», clica na seta e escolhe a receita da lista.</t>
        </is>
      </c>
    </row>
    <row r="7" ht="28.8" customHeight="1" s="30">
      <c r="B7" s="31" t="inlineStr">
        <is>
          <t>3. Na célula amarela «Quantas unidades?», escolhe 12, 24 ou 48. Precisas de outro número? Escolhe «outra» e escreve-o na célula amarela de baixo.</t>
        </is>
      </c>
    </row>
    <row r="8">
      <c r="B8" s="31" t="inlineStr">
        <is>
          <t>Pronto: na tabela vês as quantidades para a tua fornada – em chávenas e colheres e em gramas (quando a receita indica gramas).</t>
        </is>
      </c>
    </row>
    <row r="9">
      <c r="B9" s="31" t="n"/>
    </row>
    <row r="10">
      <c r="B10" s="4" t="inlineStr">
        <is>
          <t>O QUE QUEREM DIZER AS CORES</t>
        </is>
      </c>
    </row>
    <row r="11">
      <c r="B11" s="5" t="inlineStr">
        <is>
          <t>Células amarelas – é aqui que escreves ou escolhes. Tudo o resto é calculado sozinho (não escrevas por cima das fórmulas).</t>
        </is>
      </c>
    </row>
    <row r="12">
      <c r="B12" s="31" t="n"/>
    </row>
    <row r="13">
      <c r="B13" s="4" t="inlineStr">
        <is>
          <t>DE ONDE VÊM OS DADOS</t>
        </is>
      </c>
    </row>
    <row r="14">
      <c r="B14" s="31" t="inlineStr">
        <is>
          <t>8 receitas de «A Bíblia das Barras Proteicas», com as quantidades exatamente como no livro (página indicada na folha «Receitas»).</t>
        </is>
      </c>
    </row>
    <row r="15">
      <c r="B15" s="31" t="inlineStr">
        <is>
          <t>O «Número base de unidades» é o limite mínimo de rendimento do livro (p. ex. «cerca de 10–12 barras» → 10), para não faltar mistura.</t>
        </is>
      </c>
    </row>
    <row r="16">
      <c r="B16" s="31" t="inlineStr">
        <is>
          <t>Se a tua forma dá outro número de unidades, corrige-o na folha «Receitas» (coluna amarela) – a calculadora atualiza logo.</t>
        </is>
      </c>
    </row>
    <row r="17" ht="28.8" customHeight="1" s="30">
      <c r="B17" s="31" t="inlineStr">
        <is>
          <t>Na barra de granola o livro não indica o número de unidades – o 12 é só um exemplo. Faz uma fornada, conta as barras e escreve o teu número.</t>
        </is>
      </c>
    </row>
    <row r="18">
      <c r="B18" s="31" t="n"/>
    </row>
    <row r="19">
      <c r="B19" s="4" t="inlineStr">
        <is>
          <t>A TUA PRÓPRIA RECEITA</t>
        </is>
      </c>
    </row>
    <row r="20" ht="28.8" customHeight="1" s="30">
      <c r="B20" s="31" t="inlineStr">
        <is>
          <t>Na folha «Receitas», em baixo, há o bloco «A minha receita» (células amarelas). Escreve o nome, o número base de unidades e até 10 ingredientes – depois escolhe-a na Calculadora.</t>
        </is>
      </c>
    </row>
    <row r="21">
      <c r="B21" s="31" t="inlineStr">
        <is>
          <t>Escreve as unidades como nas outras receitas: cháv., c. sopa, c. chá, un. – assim funciona a conversão em chávenas e colheres.</t>
        </is>
      </c>
    </row>
    <row r="22">
      <c r="B22" s="31" t="n"/>
    </row>
    <row r="23">
      <c r="B23" s="4" t="inlineStr">
        <is>
          <t>COMO LER OS RESULTADOS</t>
        </is>
      </c>
    </row>
    <row r="24">
      <c r="B24" s="31" t="inlineStr">
        <is>
          <t>As quantidades estão arredondadas a 1/4 (p. ex. 1,25 cháv.). As unidades (ovos, maçãs, cenouras) estão arredondadas para cima, a unidades inteiras.</t>
        </is>
      </c>
    </row>
    <row r="25">
      <c r="B25" s="31" t="inlineStr">
        <is>
          <t>A coluna «Aproximadamente» divide as chávenas em «chávenas + colheres de sopa». Usa-se a aproximação 1 chávena ≈ 16 colheres de sopa.</t>
        </is>
      </c>
    </row>
    <row r="26">
      <c r="B26" s="31" t="inlineStr">
        <is>
          <t>As gramas são mais exatas do que as chávenas. Em encomendas grandes, pesa – é a forma mais simples de ter uma fornada certa.</t>
        </is>
      </c>
    </row>
    <row r="27">
      <c r="B27" s="31" t="inlineStr">
        <is>
          <t>O sal, as especiarias e o que é «a gosto» ajusta no fim, provando a mistura – nem sempre é preciso multiplicar exatamente.</t>
        </is>
      </c>
    </row>
    <row r="28">
      <c r="B28" s="31" t="n"/>
    </row>
    <row r="29">
      <c r="B29" s="4" t="inlineStr">
        <is>
          <t>FORNADAS GRANDES – 3 COISAS A LEMBRAR</t>
        </is>
      </c>
    </row>
    <row r="30">
      <c r="B30" s="31" t="inlineStr">
        <is>
          <t>• As mesmas proporções, a mesma pressão e o mesmo tempo no frio – uma fornada maior não firma mais depressa.</t>
        </is>
      </c>
    </row>
    <row r="31">
      <c r="B31" s="31" t="inlineStr">
        <is>
          <t>• Se não couber tudo numa taça, divide a mistura em 2–3 porções e mistura cada uma à parte.</t>
        </is>
      </c>
    </row>
    <row r="32">
      <c r="B32" s="31" t="inlineStr">
        <is>
          <t>• Faz a primeira fornada grande antes de uma encomenda grande, não na noite antes da entrega.</t>
        </is>
      </c>
    </row>
    <row r="33">
      <c r="B33" s="31" t="n"/>
    </row>
    <row r="34">
      <c r="B34" s="4" t="inlineStr">
        <is>
          <t>PRÓXIMO PASSO</t>
        </is>
      </c>
    </row>
    <row r="35">
      <c r="B35" s="31" t="inlineStr">
        <is>
          <t>Escolhe a receita da próxima encomenda, define o número de unidades e imprime a folha «Calculadora» ou passa as quantidades para o Caderno de fornadas.</t>
        </is>
      </c>
    </row>
    <row r="36">
      <c r="B36" s="31" t="inlineStr">
        <is>
          <t>A lista de compras para 12, 24 e 48 unidades está também no PDF «Lista de Compras por Grosso».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tabSelected="1" workbookViewId="0">
      <pane ySplit="12" topLeftCell="A13" activePane="bottomLeft" state="frozen"/>
      <selection pane="bottomLeft" activeCell="A1" sqref="A1"/>
    </sheetView>
  </sheetViews>
  <sheetFormatPr baseColWidth="10" defaultColWidth="8.88671875" defaultRowHeight="14.4"/>
  <cols>
    <col width="5" customWidth="1" style="30" min="1" max="1"/>
    <col width="34" customWidth="1" style="30" min="2" max="2"/>
    <col width="11" customWidth="1" style="30" min="3" max="3"/>
    <col width="8" customWidth="1" style="30" min="4" max="4"/>
    <col width="10" customWidth="1" style="30" min="5" max="5"/>
    <col width="13" customWidth="1" style="30" min="6" max="6"/>
    <col width="8" customWidth="1" style="30" min="7" max="7"/>
    <col width="10" customWidth="1" style="30" min="8" max="8"/>
    <col width="11" customWidth="1" style="30" min="9" max="9"/>
    <col width="13" customWidth="1" style="30" min="10" max="10"/>
    <col width="22" customWidth="1" style="30" min="11" max="11"/>
    <col width="40" customWidth="1" style="30" min="12" max="12"/>
    <col hidden="1" width="13" customWidth="1" style="30" min="14" max="14"/>
  </cols>
  <sheetData>
    <row r="1" ht="23.4" customHeight="1" s="30">
      <c r="A1" s="6" t="inlineStr">
        <is>
          <t>Calculadora de Fornadas</t>
        </is>
      </c>
    </row>
    <row r="2">
      <c r="A2" s="7" t="inlineStr">
        <is>
          <t>Escolhe a receita e o número de unidades nas células amarelas. O resto é calculado sozinho.</t>
        </is>
      </c>
    </row>
    <row r="3">
      <c r="B3" s="8" t="inlineStr">
        <is>
          <t>1. Escolhe a receita:</t>
        </is>
      </c>
      <c r="C3" s="32" t="inlineStr">
        <is>
          <t>Barras de aveia e mel</t>
        </is>
      </c>
      <c r="D3" s="33" t="n"/>
      <c r="E3" s="33" t="n"/>
      <c r="F3" s="33" t="n"/>
      <c r="G3" s="33" t="n"/>
      <c r="H3" s="34" t="n"/>
      <c r="N3">
        <f>IFERROR(MATCH($C$3,Receitas!$B$5:$B$13,0),"")</f>
        <v/>
      </c>
    </row>
    <row r="4">
      <c r="B4" s="8" t="inlineStr">
        <is>
          <t>2. Quantas unidades precisas?</t>
        </is>
      </c>
      <c r="C4" s="32" t="n">
        <v>24</v>
      </c>
    </row>
    <row r="5">
      <c r="B5" s="8" t="inlineStr">
        <is>
          <t>3. Se escolheste «outra» – escreve o número:</t>
        </is>
      </c>
      <c r="C5" s="32" t="n"/>
    </row>
    <row r="6"/>
    <row r="7">
      <c r="B7" s="8" t="inlineStr">
        <is>
          <t>Uma fornada do livro dá:</t>
        </is>
      </c>
      <c r="C7">
        <f>IF($N$3="","",INDEX(Receitas!$C$5:$C$13,$N$3))</f>
        <v/>
      </c>
    </row>
    <row r="8" ht="28.8" customHeight="1" s="30">
      <c r="B8" s="8" t="inlineStr">
        <is>
          <t>A calculadora conta a partir de (número base):</t>
        </is>
      </c>
      <c r="C8">
        <f>IF($N$3="","",INDEX(Receitas!$D$5:$D$13,$N$3))</f>
        <v/>
      </c>
      <c r="D8">
        <f>IF($N$3="","",INDEX(Receitas!$E$5:$E$13,$N$3))</f>
        <v/>
      </c>
    </row>
    <row r="9">
      <c r="B9" s="8" t="inlineStr">
        <is>
          <t>A tua fornada (unidades):</t>
        </is>
      </c>
      <c r="C9">
        <f>IF($C$4="outra",IF($C$5="","",$C$5),$C$4)</f>
        <v/>
      </c>
      <c r="D9">
        <f>D8</f>
        <v/>
      </c>
    </row>
    <row r="10" ht="18" customHeight="1" s="30">
      <c r="B10" s="8" t="inlineStr">
        <is>
          <t>Multiplicador da receita:</t>
        </is>
      </c>
      <c r="C10" s="10">
        <f>IF(OR($C$8="",$C$9="",N($C$8)=0,N($C$9)=0),"",ROUND($C$9/$C$8,3))</f>
        <v/>
      </c>
      <c r="E10" s="11">
        <f>IF($C$10="",IF($C$4="outra","← escreve o número de unidades na célula C5",""),"")</f>
        <v/>
      </c>
    </row>
    <row r="11" ht="31.95" customHeight="1" s="30">
      <c r="B11" s="8" t="inlineStr">
        <is>
          <t>Dica da receita:</t>
        </is>
      </c>
      <c r="C11" s="31">
        <f>IF($N$3="","",INDEX(Receitas!$G$5:$G$13,$N$3))</f>
        <v/>
      </c>
    </row>
    <row r="12"/>
    <row r="13" ht="30" customHeight="1" s="30">
      <c r="A13" s="12" t="inlineStr">
        <is>
          <t>N.º</t>
        </is>
      </c>
      <c r="B13" s="12" t="inlineStr">
        <is>
          <t>Ingrediente</t>
        </is>
      </c>
      <c r="C13" s="12" t="inlineStr">
        <is>
          <t>Na receita</t>
        </is>
      </c>
      <c r="D13" s="12" t="inlineStr">
        <is>
          <t>até</t>
        </is>
      </c>
      <c r="E13" s="12" t="inlineStr">
        <is>
          <t>Unidade</t>
        </is>
      </c>
      <c r="F13" s="13" t="inlineStr">
        <is>
          <t>Para a tua fornada</t>
        </is>
      </c>
      <c r="G13" s="13" t="inlineStr">
        <is>
          <t>até</t>
        </is>
      </c>
      <c r="H13" s="13" t="inlineStr">
        <is>
          <t>Unidade</t>
        </is>
      </c>
      <c r="I13" s="12" t="inlineStr">
        <is>
          <t>Gramas na receita</t>
        </is>
      </c>
      <c r="J13" s="13" t="inlineStr">
        <is>
          <t>Gramas para a tua fornada</t>
        </is>
      </c>
      <c r="K13" s="12" t="inlineStr">
        <is>
          <t>Aproximadamente</t>
        </is>
      </c>
      <c r="L13" s="12" t="inlineStr">
        <is>
          <t>Notas</t>
        </is>
      </c>
    </row>
    <row r="14">
      <c r="A14" s="14" t="n">
        <v>1</v>
      </c>
      <c r="B14" s="15">
        <f>IF($N$3="","",IF(INDEX(Receitas!$C$17:$C$106,($N$3-1)*10+1)="","",INDEX(Receitas!$C$17:$C$106,($N$3-1)*10+1)))</f>
        <v/>
      </c>
      <c r="C14" s="16">
        <f>IF($N$3="","",IF(INDEX(Receitas!$D$17:$D$106,($N$3-1)*10+1)="","",INDEX(Receitas!$D$17:$D$106,($N$3-1)*10+1)))</f>
        <v/>
      </c>
      <c r="D14" s="16">
        <f>IF($N$3="","",IF(INDEX(Receitas!$E$17:$E$106,($N$3-1)*10+1)="","",INDEX(Receitas!$E$17:$E$106,($N$3-1)*10+1)))</f>
        <v/>
      </c>
      <c r="E14" s="14">
        <f>IF($N$3="","",IF(INDEX(Receitas!$F$17:$F$106,($N$3-1)*10+1)="","",INDEX(Receitas!$F$17:$F$106,($N$3-1)*10+1)))</f>
        <v/>
      </c>
      <c r="F14" s="17">
        <f>IF(OR($C14="",$C$10=""),"",IF($E14="un.",ROUNDUP($C14*$C$10,0),IF($E14="gotas",ROUND($C14*$C$10,0),ROUND($C14*$C$10*4,0)/4)))</f>
        <v/>
      </c>
      <c r="G14" s="17">
        <f>IF(OR($D14="",$C$10=""),"",IF($E14="un.",ROUNDUP($D14*$C$10,0),IF($E14="gotas",ROUND($D14*$C$10,0),ROUND($D14*$C$10*4,0)/4)))</f>
        <v/>
      </c>
      <c r="H14" s="18">
        <f>IF($B14="","",$E14)</f>
        <v/>
      </c>
      <c r="I14" s="14">
        <f>IF($N$3="","",IF(INDEX(Receitas!$G$17:$G$106,($N$3-1)*10+1)="","",INDEX(Receitas!$G$17:$G$106,($N$3-1)*10+1)))</f>
        <v/>
      </c>
      <c r="J14" s="18">
        <f>IF(OR($I14="",$C$10=""),"",ROUND($I14*$C$10,0))</f>
        <v/>
      </c>
      <c r="K14" s="15">
        <f>IF(OR($F14="",$H14=""),"",IF($H14="cháv.",IF(ROUND(($F14-INT($F14))*16,0)=0,INT($F14)&amp;" cháv.",IF(INT($F14)=0,"",INT($F14)&amp;" cháv. + ")&amp;ROUND(($F14-INT($F14))*16,0)&amp;" c. sopa"),IF(AND($H14="c. sopa",$F14&gt;=16),INT($F14/16)&amp;" cháv. + "&amp;MOD($F14,16)&amp;" c. sopa","")))</f>
        <v/>
      </c>
      <c r="L14" s="15">
        <f>IF($N$3="","",IF(INDEX(Receitas!$H$17:$H$106,($N$3-1)*10+1)="","",INDEX(Receitas!$H$17:$H$106,($N$3-1)*10+1)))</f>
        <v/>
      </c>
    </row>
    <row r="15">
      <c r="A15" s="19" t="n">
        <v>2</v>
      </c>
      <c r="B15" s="20">
        <f>IF($N$3="","",IF(INDEX(Receitas!$C$17:$C$106,($N$3-1)*10+2)="","",INDEX(Receitas!$C$17:$C$106,($N$3-1)*10+2)))</f>
        <v/>
      </c>
      <c r="C15" s="21">
        <f>IF($N$3="","",IF(INDEX(Receitas!$D$17:$D$106,($N$3-1)*10+2)="","",INDEX(Receitas!$D$17:$D$106,($N$3-1)*10+2)))</f>
        <v/>
      </c>
      <c r="D15" s="21">
        <f>IF($N$3="","",IF(INDEX(Receitas!$E$17:$E$106,($N$3-1)*10+2)="","",INDEX(Receitas!$E$17:$E$106,($N$3-1)*10+2)))</f>
        <v/>
      </c>
      <c r="E15" s="19">
        <f>IF($N$3="","",IF(INDEX(Receitas!$F$17:$F$106,($N$3-1)*10+2)="","",INDEX(Receitas!$F$17:$F$106,($N$3-1)*10+2)))</f>
        <v/>
      </c>
      <c r="F15" s="22">
        <f>IF(OR($C15="",$C$10=""),"",IF($E15="un.",ROUNDUP($C15*$C$10,0),IF($E15="gotas",ROUND($C15*$C$10,0),ROUND($C15*$C$10*4,0)/4)))</f>
        <v/>
      </c>
      <c r="G15" s="22">
        <f>IF(OR($D15="",$C$10=""),"",IF($E15="un.",ROUNDUP($D15*$C$10,0),IF($E15="gotas",ROUND($D15*$C$10,0),ROUND($D15*$C$10*4,0)/4)))</f>
        <v/>
      </c>
      <c r="H15" s="23">
        <f>IF($B15="","",$E15)</f>
        <v/>
      </c>
      <c r="I15" s="19">
        <f>IF($N$3="","",IF(INDEX(Receitas!$G$17:$G$106,($N$3-1)*10+2)="","",INDEX(Receitas!$G$17:$G$106,($N$3-1)*10+2)))</f>
        <v/>
      </c>
      <c r="J15" s="23">
        <f>IF(OR($I15="",$C$10=""),"",ROUND($I15*$C$10,0))</f>
        <v/>
      </c>
      <c r="K15" s="20">
        <f>IF(OR($F15="",$H15=""),"",IF($H15="cháv.",IF(ROUND(($F15-INT($F15))*16,0)=0,INT($F15)&amp;" cháv.",IF(INT($F15)=0,"",INT($F15)&amp;" cháv. + ")&amp;ROUND(($F15-INT($F15))*16,0)&amp;" c. sopa"),IF(AND($H15="c. sopa",$F15&gt;=16),INT($F15/16)&amp;" cháv. + "&amp;MOD($F15,16)&amp;" c. sopa","")))</f>
        <v/>
      </c>
      <c r="L15" s="20">
        <f>IF($N$3="","",IF(INDEX(Receitas!$H$17:$H$106,($N$3-1)*10+2)="","",INDEX(Receitas!$H$17:$H$106,($N$3-1)*10+2)))</f>
        <v/>
      </c>
    </row>
    <row r="16">
      <c r="A16" s="14" t="n">
        <v>3</v>
      </c>
      <c r="B16" s="15">
        <f>IF($N$3="","",IF(INDEX(Receitas!$C$17:$C$106,($N$3-1)*10+3)="","",INDEX(Receitas!$C$17:$C$106,($N$3-1)*10+3)))</f>
        <v/>
      </c>
      <c r="C16" s="16">
        <f>IF($N$3="","",IF(INDEX(Receitas!$D$17:$D$106,($N$3-1)*10+3)="","",INDEX(Receitas!$D$17:$D$106,($N$3-1)*10+3)))</f>
        <v/>
      </c>
      <c r="D16" s="16">
        <f>IF($N$3="","",IF(INDEX(Receitas!$E$17:$E$106,($N$3-1)*10+3)="","",INDEX(Receitas!$E$17:$E$106,($N$3-1)*10+3)))</f>
        <v/>
      </c>
      <c r="E16" s="14">
        <f>IF($N$3="","",IF(INDEX(Receitas!$F$17:$F$106,($N$3-1)*10+3)="","",INDEX(Receitas!$F$17:$F$106,($N$3-1)*10+3)))</f>
        <v/>
      </c>
      <c r="F16" s="17">
        <f>IF(OR($C16="",$C$10=""),"",IF($E16="un.",ROUNDUP($C16*$C$10,0),IF($E16="gotas",ROUND($C16*$C$10,0),ROUND($C16*$C$10*4,0)/4)))</f>
        <v/>
      </c>
      <c r="G16" s="17">
        <f>IF(OR($D16="",$C$10=""),"",IF($E16="un.",ROUNDUP($D16*$C$10,0),IF($E16="gotas",ROUND($D16*$C$10,0),ROUND($D16*$C$10*4,0)/4)))</f>
        <v/>
      </c>
      <c r="H16" s="18">
        <f>IF($B16="","",$E16)</f>
        <v/>
      </c>
      <c r="I16" s="14">
        <f>IF($N$3="","",IF(INDEX(Receitas!$G$17:$G$106,($N$3-1)*10+3)="","",INDEX(Receitas!$G$17:$G$106,($N$3-1)*10+3)))</f>
        <v/>
      </c>
      <c r="J16" s="18">
        <f>IF(OR($I16="",$C$10=""),"",ROUND($I16*$C$10,0))</f>
        <v/>
      </c>
      <c r="K16" s="15">
        <f>IF(OR($F16="",$H16=""),"",IF($H16="cháv.",IF(ROUND(($F16-INT($F16))*16,0)=0,INT($F16)&amp;" cháv.",IF(INT($F16)=0,"",INT($F16)&amp;" cháv. + ")&amp;ROUND(($F16-INT($F16))*16,0)&amp;" c. sopa"),IF(AND($H16="c. sopa",$F16&gt;=16),INT($F16/16)&amp;" cháv. + "&amp;MOD($F16,16)&amp;" c. sopa","")))</f>
        <v/>
      </c>
      <c r="L16" s="15">
        <f>IF($N$3="","",IF(INDEX(Receitas!$H$17:$H$106,($N$3-1)*10+3)="","",INDEX(Receitas!$H$17:$H$106,($N$3-1)*10+3)))</f>
        <v/>
      </c>
    </row>
    <row r="17">
      <c r="A17" s="19" t="n">
        <v>4</v>
      </c>
      <c r="B17" s="20">
        <f>IF($N$3="","",IF(INDEX(Receitas!$C$17:$C$106,($N$3-1)*10+4)="","",INDEX(Receitas!$C$17:$C$106,($N$3-1)*10+4)))</f>
        <v/>
      </c>
      <c r="C17" s="21">
        <f>IF($N$3="","",IF(INDEX(Receitas!$D$17:$D$106,($N$3-1)*10+4)="","",INDEX(Receitas!$D$17:$D$106,($N$3-1)*10+4)))</f>
        <v/>
      </c>
      <c r="D17" s="21">
        <f>IF($N$3="","",IF(INDEX(Receitas!$E$17:$E$106,($N$3-1)*10+4)="","",INDEX(Receitas!$E$17:$E$106,($N$3-1)*10+4)))</f>
        <v/>
      </c>
      <c r="E17" s="19">
        <f>IF($N$3="","",IF(INDEX(Receitas!$F$17:$F$106,($N$3-1)*10+4)="","",INDEX(Receitas!$F$17:$F$106,($N$3-1)*10+4)))</f>
        <v/>
      </c>
      <c r="F17" s="22">
        <f>IF(OR($C17="",$C$10=""),"",IF($E17="un.",ROUNDUP($C17*$C$10,0),IF($E17="gotas",ROUND($C17*$C$10,0),ROUND($C17*$C$10*4,0)/4)))</f>
        <v/>
      </c>
      <c r="G17" s="22">
        <f>IF(OR($D17="",$C$10=""),"",IF($E17="un.",ROUNDUP($D17*$C$10,0),IF($E17="gotas",ROUND($D17*$C$10,0),ROUND($D17*$C$10*4,0)/4)))</f>
        <v/>
      </c>
      <c r="H17" s="23">
        <f>IF($B17="","",$E17)</f>
        <v/>
      </c>
      <c r="I17" s="19">
        <f>IF($N$3="","",IF(INDEX(Receitas!$G$17:$G$106,($N$3-1)*10+4)="","",INDEX(Receitas!$G$17:$G$106,($N$3-1)*10+4)))</f>
        <v/>
      </c>
      <c r="J17" s="23">
        <f>IF(OR($I17="",$C$10=""),"",ROUND($I17*$C$10,0))</f>
        <v/>
      </c>
      <c r="K17" s="20">
        <f>IF(OR($F17="",$H17=""),"",IF($H17="cháv.",IF(ROUND(($F17-INT($F17))*16,0)=0,INT($F17)&amp;" cháv.",IF(INT($F17)=0,"",INT($F17)&amp;" cháv. + ")&amp;ROUND(($F17-INT($F17))*16,0)&amp;" c. sopa"),IF(AND($H17="c. sopa",$F17&gt;=16),INT($F17/16)&amp;" cháv. + "&amp;MOD($F17,16)&amp;" c. sopa","")))</f>
        <v/>
      </c>
      <c r="L17" s="20">
        <f>IF($N$3="","",IF(INDEX(Receitas!$H$17:$H$106,($N$3-1)*10+4)="","",INDEX(Receitas!$H$17:$H$106,($N$3-1)*10+4)))</f>
        <v/>
      </c>
    </row>
    <row r="18">
      <c r="A18" s="14" t="n">
        <v>5</v>
      </c>
      <c r="B18" s="15">
        <f>IF($N$3="","",IF(INDEX(Receitas!$C$17:$C$106,($N$3-1)*10+5)="","",INDEX(Receitas!$C$17:$C$106,($N$3-1)*10+5)))</f>
        <v/>
      </c>
      <c r="C18" s="16">
        <f>IF($N$3="","",IF(INDEX(Receitas!$D$17:$D$106,($N$3-1)*10+5)="","",INDEX(Receitas!$D$17:$D$106,($N$3-1)*10+5)))</f>
        <v/>
      </c>
      <c r="D18" s="16">
        <f>IF($N$3="","",IF(INDEX(Receitas!$E$17:$E$106,($N$3-1)*10+5)="","",INDEX(Receitas!$E$17:$E$106,($N$3-1)*10+5)))</f>
        <v/>
      </c>
      <c r="E18" s="14">
        <f>IF($N$3="","",IF(INDEX(Receitas!$F$17:$F$106,($N$3-1)*10+5)="","",INDEX(Receitas!$F$17:$F$106,($N$3-1)*10+5)))</f>
        <v/>
      </c>
      <c r="F18" s="17">
        <f>IF(OR($C18="",$C$10=""),"",IF($E18="un.",ROUNDUP($C18*$C$10,0),IF($E18="gotas",ROUND($C18*$C$10,0),ROUND($C18*$C$10*4,0)/4)))</f>
        <v/>
      </c>
      <c r="G18" s="17">
        <f>IF(OR($D18="",$C$10=""),"",IF($E18="un.",ROUNDUP($D18*$C$10,0),IF($E18="gotas",ROUND($D18*$C$10,0),ROUND($D18*$C$10*4,0)/4)))</f>
        <v/>
      </c>
      <c r="H18" s="18">
        <f>IF($B18="","",$E18)</f>
        <v/>
      </c>
      <c r="I18" s="14">
        <f>IF($N$3="","",IF(INDEX(Receitas!$G$17:$G$106,($N$3-1)*10+5)="","",INDEX(Receitas!$G$17:$G$106,($N$3-1)*10+5)))</f>
        <v/>
      </c>
      <c r="J18" s="18">
        <f>IF(OR($I18="",$C$10=""),"",ROUND($I18*$C$10,0))</f>
        <v/>
      </c>
      <c r="K18" s="15">
        <f>IF(OR($F18="",$H18=""),"",IF($H18="cháv.",IF(ROUND(($F18-INT($F18))*16,0)=0,INT($F18)&amp;" cháv.",IF(INT($F18)=0,"",INT($F18)&amp;" cháv. + ")&amp;ROUND(($F18-INT($F18))*16,0)&amp;" c. sopa"),IF(AND($H18="c. sopa",$F18&gt;=16),INT($F18/16)&amp;" cháv. + "&amp;MOD($F18,16)&amp;" c. sopa","")))</f>
        <v/>
      </c>
      <c r="L18" s="15">
        <f>IF($N$3="","",IF(INDEX(Receitas!$H$17:$H$106,($N$3-1)*10+5)="","",INDEX(Receitas!$H$17:$H$106,($N$3-1)*10+5)))</f>
        <v/>
      </c>
    </row>
    <row r="19">
      <c r="A19" s="19" t="n">
        <v>6</v>
      </c>
      <c r="B19" s="20">
        <f>IF($N$3="","",IF(INDEX(Receitas!$C$17:$C$106,($N$3-1)*10+6)="","",INDEX(Receitas!$C$17:$C$106,($N$3-1)*10+6)))</f>
        <v/>
      </c>
      <c r="C19" s="21">
        <f>IF($N$3="","",IF(INDEX(Receitas!$D$17:$D$106,($N$3-1)*10+6)="","",INDEX(Receitas!$D$17:$D$106,($N$3-1)*10+6)))</f>
        <v/>
      </c>
      <c r="D19" s="21">
        <f>IF($N$3="","",IF(INDEX(Receitas!$E$17:$E$106,($N$3-1)*10+6)="","",INDEX(Receitas!$E$17:$E$106,($N$3-1)*10+6)))</f>
        <v/>
      </c>
      <c r="E19" s="19">
        <f>IF($N$3="","",IF(INDEX(Receitas!$F$17:$F$106,($N$3-1)*10+6)="","",INDEX(Receitas!$F$17:$F$106,($N$3-1)*10+6)))</f>
        <v/>
      </c>
      <c r="F19" s="22">
        <f>IF(OR($C19="",$C$10=""),"",IF($E19="un.",ROUNDUP($C19*$C$10,0),IF($E19="gotas",ROUND($C19*$C$10,0),ROUND($C19*$C$10*4,0)/4)))</f>
        <v/>
      </c>
      <c r="G19" s="22">
        <f>IF(OR($D19="",$C$10=""),"",IF($E19="un.",ROUNDUP($D19*$C$10,0),IF($E19="gotas",ROUND($D19*$C$10,0),ROUND($D19*$C$10*4,0)/4)))</f>
        <v/>
      </c>
      <c r="H19" s="23">
        <f>IF($B19="","",$E19)</f>
        <v/>
      </c>
      <c r="I19" s="19">
        <f>IF($N$3="","",IF(INDEX(Receitas!$G$17:$G$106,($N$3-1)*10+6)="","",INDEX(Receitas!$G$17:$G$106,($N$3-1)*10+6)))</f>
        <v/>
      </c>
      <c r="J19" s="23">
        <f>IF(OR($I19="",$C$10=""),"",ROUND($I19*$C$10,0))</f>
        <v/>
      </c>
      <c r="K19" s="20">
        <f>IF(OR($F19="",$H19=""),"",IF($H19="cháv.",IF(ROUND(($F19-INT($F19))*16,0)=0,INT($F19)&amp;" cháv.",IF(INT($F19)=0,"",INT($F19)&amp;" cháv. + ")&amp;ROUND(($F19-INT($F19))*16,0)&amp;" c. sopa"),IF(AND($H19="c. sopa",$F19&gt;=16),INT($F19/16)&amp;" cháv. + "&amp;MOD($F19,16)&amp;" c. sopa","")))</f>
        <v/>
      </c>
      <c r="L19" s="20">
        <f>IF($N$3="","",IF(INDEX(Receitas!$H$17:$H$106,($N$3-1)*10+6)="","",INDEX(Receitas!$H$17:$H$106,($N$3-1)*10+6)))</f>
        <v/>
      </c>
    </row>
    <row r="20">
      <c r="A20" s="14" t="n">
        <v>7</v>
      </c>
      <c r="B20" s="15">
        <f>IF($N$3="","",IF(INDEX(Receitas!$C$17:$C$106,($N$3-1)*10+7)="","",INDEX(Receitas!$C$17:$C$106,($N$3-1)*10+7)))</f>
        <v/>
      </c>
      <c r="C20" s="16">
        <f>IF($N$3="","",IF(INDEX(Receitas!$D$17:$D$106,($N$3-1)*10+7)="","",INDEX(Receitas!$D$17:$D$106,($N$3-1)*10+7)))</f>
        <v/>
      </c>
      <c r="D20" s="16">
        <f>IF($N$3="","",IF(INDEX(Receitas!$E$17:$E$106,($N$3-1)*10+7)="","",INDEX(Receitas!$E$17:$E$106,($N$3-1)*10+7)))</f>
        <v/>
      </c>
      <c r="E20" s="14">
        <f>IF($N$3="","",IF(INDEX(Receitas!$F$17:$F$106,($N$3-1)*10+7)="","",INDEX(Receitas!$F$17:$F$106,($N$3-1)*10+7)))</f>
        <v/>
      </c>
      <c r="F20" s="17">
        <f>IF(OR($C20="",$C$10=""),"",IF($E20="un.",ROUNDUP($C20*$C$10,0),IF($E20="gotas",ROUND($C20*$C$10,0),ROUND($C20*$C$10*4,0)/4)))</f>
        <v/>
      </c>
      <c r="G20" s="17">
        <f>IF(OR($D20="",$C$10=""),"",IF($E20="un.",ROUNDUP($D20*$C$10,0),IF($E20="gotas",ROUND($D20*$C$10,0),ROUND($D20*$C$10*4,0)/4)))</f>
        <v/>
      </c>
      <c r="H20" s="18">
        <f>IF($B20="","",$E20)</f>
        <v/>
      </c>
      <c r="I20" s="14">
        <f>IF($N$3="","",IF(INDEX(Receitas!$G$17:$G$106,($N$3-1)*10+7)="","",INDEX(Receitas!$G$17:$G$106,($N$3-1)*10+7)))</f>
        <v/>
      </c>
      <c r="J20" s="18">
        <f>IF(OR($I20="",$C$10=""),"",ROUND($I20*$C$10,0))</f>
        <v/>
      </c>
      <c r="K20" s="15">
        <f>IF(OR($F20="",$H20=""),"",IF($H20="cháv.",IF(ROUND(($F20-INT($F20))*16,0)=0,INT($F20)&amp;" cháv.",IF(INT($F20)=0,"",INT($F20)&amp;" cháv. + ")&amp;ROUND(($F20-INT($F20))*16,0)&amp;" c. sopa"),IF(AND($H20="c. sopa",$F20&gt;=16),INT($F20/16)&amp;" cháv. + "&amp;MOD($F20,16)&amp;" c. sopa","")))</f>
        <v/>
      </c>
      <c r="L20" s="15">
        <f>IF($N$3="","",IF(INDEX(Receitas!$H$17:$H$106,($N$3-1)*10+7)="","",INDEX(Receitas!$H$17:$H$106,($N$3-1)*10+7)))</f>
        <v/>
      </c>
    </row>
    <row r="21">
      <c r="A21" s="19" t="n">
        <v>8</v>
      </c>
      <c r="B21" s="20">
        <f>IF($N$3="","",IF(INDEX(Receitas!$C$17:$C$106,($N$3-1)*10+8)="","",INDEX(Receitas!$C$17:$C$106,($N$3-1)*10+8)))</f>
        <v/>
      </c>
      <c r="C21" s="21">
        <f>IF($N$3="","",IF(INDEX(Receitas!$D$17:$D$106,($N$3-1)*10+8)="","",INDEX(Receitas!$D$17:$D$106,($N$3-1)*10+8)))</f>
        <v/>
      </c>
      <c r="D21" s="21">
        <f>IF($N$3="","",IF(INDEX(Receitas!$E$17:$E$106,($N$3-1)*10+8)="","",INDEX(Receitas!$E$17:$E$106,($N$3-1)*10+8)))</f>
        <v/>
      </c>
      <c r="E21" s="19">
        <f>IF($N$3="","",IF(INDEX(Receitas!$F$17:$F$106,($N$3-1)*10+8)="","",INDEX(Receitas!$F$17:$F$106,($N$3-1)*10+8)))</f>
        <v/>
      </c>
      <c r="F21" s="22">
        <f>IF(OR($C21="",$C$10=""),"",IF($E21="un.",ROUNDUP($C21*$C$10,0),IF($E21="gotas",ROUND($C21*$C$10,0),ROUND($C21*$C$10*4,0)/4)))</f>
        <v/>
      </c>
      <c r="G21" s="22">
        <f>IF(OR($D21="",$C$10=""),"",IF($E21="un.",ROUNDUP($D21*$C$10,0),IF($E21="gotas",ROUND($D21*$C$10,0),ROUND($D21*$C$10*4,0)/4)))</f>
        <v/>
      </c>
      <c r="H21" s="23">
        <f>IF($B21="","",$E21)</f>
        <v/>
      </c>
      <c r="I21" s="19">
        <f>IF($N$3="","",IF(INDEX(Receitas!$G$17:$G$106,($N$3-1)*10+8)="","",INDEX(Receitas!$G$17:$G$106,($N$3-1)*10+8)))</f>
        <v/>
      </c>
      <c r="J21" s="23">
        <f>IF(OR($I21="",$C$10=""),"",ROUND($I21*$C$10,0))</f>
        <v/>
      </c>
      <c r="K21" s="20">
        <f>IF(OR($F21="",$H21=""),"",IF($H21="cháv.",IF(ROUND(($F21-INT($F21))*16,0)=0,INT($F21)&amp;" cháv.",IF(INT($F21)=0,"",INT($F21)&amp;" cháv. + ")&amp;ROUND(($F21-INT($F21))*16,0)&amp;" c. sopa"),IF(AND($H21="c. sopa",$F21&gt;=16),INT($F21/16)&amp;" cháv. + "&amp;MOD($F21,16)&amp;" c. sopa","")))</f>
        <v/>
      </c>
      <c r="L21" s="20">
        <f>IF($N$3="","",IF(INDEX(Receitas!$H$17:$H$106,($N$3-1)*10+8)="","",INDEX(Receitas!$H$17:$H$106,($N$3-1)*10+8)))</f>
        <v/>
      </c>
    </row>
    <row r="22">
      <c r="A22" s="14" t="n">
        <v>9</v>
      </c>
      <c r="B22" s="15">
        <f>IF($N$3="","",IF(INDEX(Receitas!$C$17:$C$106,($N$3-1)*10+9)="","",INDEX(Receitas!$C$17:$C$106,($N$3-1)*10+9)))</f>
        <v/>
      </c>
      <c r="C22" s="16">
        <f>IF($N$3="","",IF(INDEX(Receitas!$D$17:$D$106,($N$3-1)*10+9)="","",INDEX(Receitas!$D$17:$D$106,($N$3-1)*10+9)))</f>
        <v/>
      </c>
      <c r="D22" s="16">
        <f>IF($N$3="","",IF(INDEX(Receitas!$E$17:$E$106,($N$3-1)*10+9)="","",INDEX(Receitas!$E$17:$E$106,($N$3-1)*10+9)))</f>
        <v/>
      </c>
      <c r="E22" s="14">
        <f>IF($N$3="","",IF(INDEX(Receitas!$F$17:$F$106,($N$3-1)*10+9)="","",INDEX(Receitas!$F$17:$F$106,($N$3-1)*10+9)))</f>
        <v/>
      </c>
      <c r="F22" s="17">
        <f>IF(OR($C22="",$C$10=""),"",IF($E22="un.",ROUNDUP($C22*$C$10,0),IF($E22="gotas",ROUND($C22*$C$10,0),ROUND($C22*$C$10*4,0)/4)))</f>
        <v/>
      </c>
      <c r="G22" s="17">
        <f>IF(OR($D22="",$C$10=""),"",IF($E22="un.",ROUNDUP($D22*$C$10,0),IF($E22="gotas",ROUND($D22*$C$10,0),ROUND($D22*$C$10*4,0)/4)))</f>
        <v/>
      </c>
      <c r="H22" s="18">
        <f>IF($B22="","",$E22)</f>
        <v/>
      </c>
      <c r="I22" s="14">
        <f>IF($N$3="","",IF(INDEX(Receitas!$G$17:$G$106,($N$3-1)*10+9)="","",INDEX(Receitas!$G$17:$G$106,($N$3-1)*10+9)))</f>
        <v/>
      </c>
      <c r="J22" s="18">
        <f>IF(OR($I22="",$C$10=""),"",ROUND($I22*$C$10,0))</f>
        <v/>
      </c>
      <c r="K22" s="15">
        <f>IF(OR($F22="",$H22=""),"",IF($H22="cháv.",IF(ROUND(($F22-INT($F22))*16,0)=0,INT($F22)&amp;" cháv.",IF(INT($F22)=0,"",INT($F22)&amp;" cháv. + ")&amp;ROUND(($F22-INT($F22))*16,0)&amp;" c. sopa"),IF(AND($H22="c. sopa",$F22&gt;=16),INT($F22/16)&amp;" cháv. + "&amp;MOD($F22,16)&amp;" c. sopa","")))</f>
        <v/>
      </c>
      <c r="L22" s="15">
        <f>IF($N$3="","",IF(INDEX(Receitas!$H$17:$H$106,($N$3-1)*10+9)="","",INDEX(Receitas!$H$17:$H$106,($N$3-1)*10+9)))</f>
        <v/>
      </c>
    </row>
    <row r="23">
      <c r="A23" s="19" t="n">
        <v>10</v>
      </c>
      <c r="B23" s="20">
        <f>IF($N$3="","",IF(INDEX(Receitas!$C$17:$C$106,($N$3-1)*10+10)="","",INDEX(Receitas!$C$17:$C$106,($N$3-1)*10+10)))</f>
        <v/>
      </c>
      <c r="C23" s="21">
        <f>IF($N$3="","",IF(INDEX(Receitas!$D$17:$D$106,($N$3-1)*10+10)="","",INDEX(Receitas!$D$17:$D$106,($N$3-1)*10+10)))</f>
        <v/>
      </c>
      <c r="D23" s="21">
        <f>IF($N$3="","",IF(INDEX(Receitas!$E$17:$E$106,($N$3-1)*10+10)="","",INDEX(Receitas!$E$17:$E$106,($N$3-1)*10+10)))</f>
        <v/>
      </c>
      <c r="E23" s="19">
        <f>IF($N$3="","",IF(INDEX(Receitas!$F$17:$F$106,($N$3-1)*10+10)="","",INDEX(Receitas!$F$17:$F$106,($N$3-1)*10+10)))</f>
        <v/>
      </c>
      <c r="F23" s="22">
        <f>IF(OR($C23="",$C$10=""),"",IF($E23="un.",ROUNDUP($C23*$C$10,0),IF($E23="gotas",ROUND($C23*$C$10,0),ROUND($C23*$C$10*4,0)/4)))</f>
        <v/>
      </c>
      <c r="G23" s="22">
        <f>IF(OR($D23="",$C$10=""),"",IF($E23="un.",ROUNDUP($D23*$C$10,0),IF($E23="gotas",ROUND($D23*$C$10,0),ROUND($D23*$C$10*4,0)/4)))</f>
        <v/>
      </c>
      <c r="H23" s="23">
        <f>IF($B23="","",$E23)</f>
        <v/>
      </c>
      <c r="I23" s="19">
        <f>IF($N$3="","",IF(INDEX(Receitas!$G$17:$G$106,($N$3-1)*10+10)="","",INDEX(Receitas!$G$17:$G$106,($N$3-1)*10+10)))</f>
        <v/>
      </c>
      <c r="J23" s="23">
        <f>IF(OR($I23="",$C$10=""),"",ROUND($I23*$C$10,0))</f>
        <v/>
      </c>
      <c r="K23" s="20">
        <f>IF(OR($F23="",$H23=""),"",IF($H23="cháv.",IF(ROUND(($F23-INT($F23))*16,0)=0,INT($F23)&amp;" cháv.",IF(INT($F23)=0,"",INT($F23)&amp;" cháv. + ")&amp;ROUND(($F23-INT($F23))*16,0)&amp;" c. sopa"),IF(AND($H23="c. sopa",$F23&gt;=16),INT($F23/16)&amp;" cháv. + "&amp;MOD($F23,16)&amp;" c. sopa","")))</f>
        <v/>
      </c>
      <c r="L23" s="20">
        <f>IF($N$3="","",IF(INDEX(Receitas!$H$17:$H$106,($N$3-1)*10+10)="","",INDEX(Receitas!$H$17:$H$106,($N$3-1)*10+10)))</f>
        <v/>
      </c>
    </row>
    <row r="24">
      <c r="I24" s="24" t="inlineStr">
        <is>
          <t>Total:</t>
        </is>
      </c>
      <c r="J24" s="24">
        <f>IF($C$10="","",SUM(J14:J23))</f>
        <v/>
      </c>
      <c r="K24" t="inlineStr">
        <is>
          <t>g (só ingredientes com peso indicado)</t>
        </is>
      </c>
    </row>
    <row r="25"/>
    <row r="26">
      <c r="B26" s="7" t="inlineStr">
        <is>
          <t>Arredondamentos: quantidades a 1/4, unidades para cima, a inteiras. 1 chávena ≈ 16 colheres de sopa (aproximação). Sal e especiarias a gosto.</t>
        </is>
      </c>
    </row>
    <row r="27">
      <c r="B27" s="7" t="inlineStr">
        <is>
          <t>Uma fornada maior não firma mais depressa: a mesma pressão e no mínimo 2 horas no frigorífico (45 minutos no congelador).</t>
        </is>
      </c>
    </row>
  </sheetData>
  <mergeCells count="3">
    <mergeCell ref="C7:H7"/>
    <mergeCell ref="C11:L11"/>
    <mergeCell ref="C3:H3"/>
  </mergeCells>
  <dataValidations count="3">
    <dataValidation sqref="C3" showDropDown="0" showInputMessage="0" showErrorMessage="1" allowBlank="0" errorTitle="Receita" error="Escolhe uma receita da lista." type="list">
      <formula1>Receitas!$B$5:$B$13</formula1>
    </dataValidation>
    <dataValidation sqref="C4" showDropDown="0" showInputMessage="0" showErrorMessage="1" allowBlank="0" errorTitle="Número de unidades" error="Escolhe 12, 24, 48 ou «outra»." type="list">
      <formula1>"12,24,48,outra"</formula1>
    </dataValidation>
    <dataValidation sqref="C5" showDropDown="0" showInputMessage="0" showErrorMessage="1" allowBlank="1" errorTitle="Número de unidades" error="Escreve um número inteiro, p. ex. 30." type="whole" operator="between">
      <formula1>1</formula1>
      <formula2>10000</formula2>
    </dataValidation>
  </dataValidation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11" customWidth="1" style="30" min="1" max="1"/>
    <col width="34" customWidth="1" style="30" min="2" max="2"/>
    <col width="26" customWidth="1" style="30" min="3" max="3"/>
    <col width="14" customWidth="1" style="30" min="4" max="4"/>
    <col width="12" customWidth="1" style="30" min="5" max="7"/>
    <col width="44" customWidth="1" style="30" min="8" max="8"/>
  </cols>
  <sheetData>
    <row r="1" ht="23.4" customHeight="1" s="30">
      <c r="A1" s="6" t="inlineStr">
        <is>
          <t>Receitas – dados para a Calculadora</t>
        </is>
      </c>
    </row>
    <row r="2">
      <c r="A2" s="7" t="inlineStr">
        <is>
          <t>Quantidades como em «A Bíblia das Barras Proteicas». Podes mudar as células amarelas. Não mudes a ordem das linhas.</t>
        </is>
      </c>
    </row>
    <row r="3"/>
    <row r="4" ht="28.8" customHeight="1" s="30">
      <c r="A4" s="25" t="inlineStr">
        <is>
          <t>N.º</t>
        </is>
      </c>
      <c r="B4" s="25" t="inlineStr">
        <is>
          <t>Receita</t>
        </is>
      </c>
      <c r="C4" s="25" t="inlineStr">
        <is>
          <t>Rendimento no livro</t>
        </is>
      </c>
      <c r="D4" s="25" t="inlineStr">
        <is>
          <t>Número base de unidades</t>
        </is>
      </c>
      <c r="E4" s="25" t="inlineStr">
        <is>
          <t>O que contas</t>
        </is>
      </c>
      <c r="F4" s="25" t="inlineStr">
        <is>
          <t>Fonte</t>
        </is>
      </c>
      <c r="G4" s="25" t="inlineStr">
        <is>
          <t>Nota</t>
        </is>
      </c>
    </row>
    <row r="5" ht="72" customHeight="1" s="30">
      <c r="A5" s="15" t="n">
        <v>1</v>
      </c>
      <c r="B5" s="15" t="inlineStr">
        <is>
          <t>Barras de aveia e mel</t>
        </is>
      </c>
      <c r="C5" s="15" t="inlineStr">
        <is>
          <t>cerca de 10–12 barras</t>
        </is>
      </c>
      <c r="D5" s="26" t="n">
        <v>10</v>
      </c>
      <c r="E5" s="15" t="inlineStr">
        <is>
          <t>barras</t>
        </is>
      </c>
      <c r="F5" s="15" t="inlineStr">
        <is>
          <t>Bíblia, pág. 21</t>
        </is>
      </c>
      <c r="G5" s="15" t="inlineStr">
        <is>
          <t>A receita mais simples – ideal para a primeira fornada.</t>
        </is>
      </c>
    </row>
    <row r="6" ht="86.40000000000001" customHeight="1" s="30">
      <c r="A6" s="15" t="n">
        <v>2</v>
      </c>
      <c r="B6" s="15" t="inlineStr">
        <is>
          <t>Barras de tâmaras e frutos secos</t>
        </is>
      </c>
      <c r="C6" s="15" t="inlineStr">
        <is>
          <t>cerca de 8–10 barras</t>
        </is>
      </c>
      <c r="D6" s="26" t="n">
        <v>8</v>
      </c>
      <c r="E6" s="15" t="inlineStr">
        <is>
          <t>barras</t>
        </is>
      </c>
      <c r="F6" s="15" t="inlineStr">
        <is>
          <t>Bíblia, pág. 22</t>
        </is>
      </c>
      <c r="G6" s="15" t="inlineStr">
        <is>
          <t>Sem mel. Demolha as tâmaras 10 minutos em água morna.</t>
        </is>
      </c>
    </row>
    <row r="7" ht="72" customHeight="1" s="30">
      <c r="A7" s="15" t="n">
        <v>3</v>
      </c>
      <c r="B7" s="15" t="inlineStr">
        <is>
          <t>Barras de chocolate e amendoim</t>
        </is>
      </c>
      <c r="C7" s="15" t="inlineStr">
        <is>
          <t>cerca de 10 barras</t>
        </is>
      </c>
      <c r="D7" s="26" t="n">
        <v>10</v>
      </c>
      <c r="E7" s="15" t="inlineStr">
        <is>
          <t>barras</t>
        </is>
      </c>
      <c r="F7" s="15" t="inlineStr">
        <is>
          <t>Bíblia, pág. 23</t>
        </is>
      </c>
      <c r="G7" s="15" t="inlineStr">
        <is>
          <t>Deixa a mistura arrefecer 5 minutos antes de juntar o chocolate.</t>
        </is>
      </c>
    </row>
    <row r="8" ht="100.8" customHeight="1" s="30">
      <c r="A8" s="15" t="n">
        <v>4</v>
      </c>
      <c r="B8" s="15" t="inlineStr">
        <is>
          <t>Barras de 3 texturas</t>
        </is>
      </c>
      <c r="C8" s="15" t="inlineStr">
        <is>
          <t>cerca de 10–12 barras</t>
        </is>
      </c>
      <c r="D8" s="26" t="n">
        <v>10</v>
      </c>
      <c r="E8" s="15" t="inlineStr">
        <is>
          <t>barras</t>
        </is>
      </c>
      <c r="F8" s="15" t="inlineStr">
        <is>
          <t>Bíblia, pág. 24</t>
        </is>
      </c>
      <c r="G8" s="15" t="inlineStr">
        <is>
          <t>A quinoa tufada deixa ar – calca com muita força.</t>
        </is>
      </c>
    </row>
    <row r="9" ht="100.8" customHeight="1" s="30">
      <c r="A9" s="15" t="n">
        <v>5</v>
      </c>
      <c r="B9" s="15" t="inlineStr">
        <is>
          <t>Bolachas de aveia e maçã</t>
        </is>
      </c>
      <c r="C9" s="15" t="inlineStr">
        <is>
          <t>cerca de 14–16 bolachas</t>
        </is>
      </c>
      <c r="D9" s="26" t="n">
        <v>14</v>
      </c>
      <c r="E9" s="15" t="inlineStr">
        <is>
          <t>bolachas</t>
        </is>
      </c>
      <c r="F9" s="15" t="inlineStr">
        <is>
          <t>Bíblia, pág. 28</t>
        </is>
      </c>
      <c r="G9" s="15" t="inlineStr">
        <is>
          <t>Forno a 180 °C, 15–20 minutos. Numa fornada grande, coze vários tabuleiros seguidos.</t>
        </is>
      </c>
    </row>
    <row r="10" ht="187.2" customHeight="1" s="30">
      <c r="A10" s="15" t="n">
        <v>6</v>
      </c>
      <c r="B10" s="15" t="inlineStr">
        <is>
          <t>Bolo saudável de cenoura</t>
        </is>
      </c>
      <c r="C10" s="15" t="inlineStr">
        <is>
          <t>1 bolo, cerca de 8–10 fatias</t>
        </is>
      </c>
      <c r="D10" s="26" t="n">
        <v>8</v>
      </c>
      <c r="E10" s="15" t="inlineStr">
        <is>
          <t>fatias</t>
        </is>
      </c>
      <c r="F10" s="15" t="inlineStr">
        <is>
          <t>Bíblia, pág. 29</t>
        </is>
      </c>
      <c r="G10" s="15" t="inlineStr">
        <is>
          <t>Conta bolos inteiros: escolhe «outra» e escreve 8, 16, 24… (1 bolo = cerca de 8 fatias). Coze cada bolo na sua forma de bolo inglês, 180 °C, 35–40 minutos.</t>
        </is>
      </c>
    </row>
    <row r="11" ht="86.40000000000001" customHeight="1" s="30">
      <c r="A11" s="15" t="n">
        <v>7</v>
      </c>
      <c r="B11" s="15" t="inlineStr">
        <is>
          <t>Bolinhas energéticas</t>
        </is>
      </c>
      <c r="C11" s="15" t="inlineStr">
        <is>
          <t>cerca de 14–16 bolinhas</t>
        </is>
      </c>
      <c r="D11" s="26" t="n">
        <v>14</v>
      </c>
      <c r="E11" s="15" t="inlineStr">
        <is>
          <t>bolinhas</t>
        </is>
      </c>
      <c r="F11" s="15" t="inlineStr">
        <is>
          <t>Bíblia, pág. 30</t>
        </is>
      </c>
      <c r="G11" s="15" t="inlineStr">
        <is>
          <t>Molda com as mãos húmidas; leva ao frio pelo menos 30 minutos.</t>
        </is>
      </c>
    </row>
    <row r="12" ht="259.2" customHeight="1" s="30">
      <c r="A12" s="15" t="n">
        <v>8</v>
      </c>
      <c r="B12" s="15" t="inlineStr">
        <is>
          <t>Barra proteica de granola (bónus)</t>
        </is>
      </c>
      <c r="C12" s="15" t="inlineStr">
        <is>
          <t>o livro não indica o número de unidades</t>
        </is>
      </c>
      <c r="D12" s="26" t="n">
        <v>12</v>
      </c>
      <c r="E12" s="15" t="inlineStr">
        <is>
          <t>barras</t>
        </is>
      </c>
      <c r="F12" s="15" t="inlineStr">
        <is>
          <t>Bíblia, pág. 54–55</t>
        </is>
      </c>
      <c r="G12" s="15" t="inlineStr">
        <is>
          <t>É a parte 2 da receita. A granola (parte 1) fazes à parte – uma dose chega para várias fornadas. As 12 unidades são só um exemplo: escreve na folha «Receitas» quantas barras te saem.</t>
        </is>
      </c>
    </row>
    <row r="13" ht="72" customHeight="1" s="30">
      <c r="A13" s="15" t="n">
        <v>9</v>
      </c>
      <c r="B13" s="26" t="inlineStr">
        <is>
          <t>A minha receita</t>
        </is>
      </c>
      <c r="C13" s="26" t="inlineStr">
        <is>
          <t>escreve</t>
        </is>
      </c>
      <c r="D13" s="26" t="n">
        <v>12</v>
      </c>
      <c r="E13" s="26" t="inlineStr">
        <is>
          <t>unidades</t>
        </is>
      </c>
      <c r="F13" s="15" t="inlineStr">
        <is>
          <t>Tua</t>
        </is>
      </c>
      <c r="G13" s="26" t="inlineStr">
        <is>
          <t>A tua própria receita – preenche as células amarelas.</t>
        </is>
      </c>
    </row>
    <row r="14"/>
    <row r="15">
      <c r="A15" s="24" t="inlineStr">
        <is>
          <t>Ingredientes (10 linhas por receita)</t>
        </is>
      </c>
    </row>
    <row r="16" ht="28.8" customHeight="1" s="30">
      <c r="A16" s="25" t="inlineStr">
        <is>
          <t>N.º receita</t>
        </is>
      </c>
      <c r="B16" s="25" t="inlineStr">
        <is>
          <t>N.º</t>
        </is>
      </c>
      <c r="C16" s="25" t="inlineStr">
        <is>
          <t>Ingrediente</t>
        </is>
      </c>
      <c r="D16" s="25" t="inlineStr">
        <is>
          <t>Quantidade</t>
        </is>
      </c>
      <c r="E16" s="25" t="inlineStr">
        <is>
          <t>Quantidade até (intervalo)</t>
        </is>
      </c>
      <c r="F16" s="25" t="inlineStr">
        <is>
          <t>Unidade</t>
        </is>
      </c>
      <c r="G16" s="25" t="inlineStr">
        <is>
          <t>Gramas (do livro)</t>
        </is>
      </c>
      <c r="H16" s="25" t="inlineStr">
        <is>
          <t>Notas</t>
        </is>
      </c>
    </row>
    <row r="17">
      <c r="A17" s="15" t="n">
        <v>1</v>
      </c>
      <c r="B17" s="15" t="n">
        <v>1</v>
      </c>
      <c r="C17" s="15" t="inlineStr">
        <is>
          <t>Flocos de aveia</t>
        </is>
      </c>
      <c r="D17" s="27" t="n">
        <v>2</v>
      </c>
      <c r="E17" s="15" t="n"/>
      <c r="F17" s="15" t="inlineStr">
        <is>
          <t>cháv.</t>
        </is>
      </c>
      <c r="G17" s="15" t="n">
        <v>180</v>
      </c>
      <c r="H17" s="15" t="n"/>
    </row>
    <row r="18">
      <c r="A18" s="15" t="n">
        <v>1</v>
      </c>
      <c r="B18" s="15" t="n">
        <v>2</v>
      </c>
      <c r="C18" s="15" t="inlineStr">
        <is>
          <t>Mel</t>
        </is>
      </c>
      <c r="D18" s="27" t="n">
        <v>0.5</v>
      </c>
      <c r="E18" s="15" t="n"/>
      <c r="F18" s="15" t="inlineStr">
        <is>
          <t>cháv.</t>
        </is>
      </c>
      <c r="G18" s="15" t="n">
        <v>170</v>
      </c>
      <c r="H18" s="15" t="n"/>
    </row>
    <row r="19">
      <c r="A19" s="15" t="n">
        <v>1</v>
      </c>
      <c r="B19" s="15" t="n">
        <v>3</v>
      </c>
      <c r="C19" s="15" t="inlineStr">
        <is>
          <t>Manteiga de amendoim</t>
        </is>
      </c>
      <c r="D19" s="27" t="n">
        <v>0.25</v>
      </c>
      <c r="E19" s="15" t="n"/>
      <c r="F19" s="15" t="inlineStr">
        <is>
          <t>cháv.</t>
        </is>
      </c>
      <c r="G19" s="15" t="n">
        <v>65</v>
      </c>
      <c r="H19" s="15" t="n"/>
    </row>
    <row r="20">
      <c r="A20" s="15" t="n">
        <v>1</v>
      </c>
      <c r="B20" s="15" t="n">
        <v>4</v>
      </c>
      <c r="C20" s="15" t="inlineStr">
        <is>
          <t>Frutos secos picados</t>
        </is>
      </c>
      <c r="D20" s="27" t="n">
        <v>0.5</v>
      </c>
      <c r="E20" s="15" t="n"/>
      <c r="F20" s="15" t="inlineStr">
        <is>
          <t>cháv.</t>
        </is>
      </c>
      <c r="G20" s="15" t="n">
        <v>60</v>
      </c>
      <c r="H20" s="15" t="n"/>
    </row>
    <row r="21">
      <c r="A21" s="15" t="n">
        <v>1</v>
      </c>
      <c r="B21" s="15" t="n">
        <v>5</v>
      </c>
      <c r="C21" s="15" t="inlineStr">
        <is>
          <t>Extrato de baunilha</t>
        </is>
      </c>
      <c r="D21" s="27" t="n">
        <v>1</v>
      </c>
      <c r="E21" s="15" t="n"/>
      <c r="F21" s="15" t="inlineStr">
        <is>
          <t>c. chá</t>
        </is>
      </c>
      <c r="G21" s="15" t="n"/>
      <c r="H21" s="15" t="n"/>
    </row>
    <row r="22">
      <c r="A22" s="15" t="n">
        <v>1</v>
      </c>
      <c r="B22" s="15" t="n">
        <v>6</v>
      </c>
      <c r="C22" s="15" t="inlineStr">
        <is>
          <t>Sal</t>
        </is>
      </c>
      <c r="D22" s="27" t="n">
        <v>1</v>
      </c>
      <c r="E22" s="15" t="n"/>
      <c r="F22" s="15" t="inlineStr">
        <is>
          <t>pitada</t>
        </is>
      </c>
      <c r="G22" s="15" t="n"/>
      <c r="H22" s="15" t="inlineStr">
        <is>
          <t>a gosto</t>
        </is>
      </c>
    </row>
    <row r="23">
      <c r="A23" s="15" t="n">
        <v>1</v>
      </c>
      <c r="B23" s="15" t="n">
        <v>7</v>
      </c>
      <c r="C23" s="15" t="n"/>
      <c r="D23" s="27" t="n"/>
      <c r="E23" s="15" t="n"/>
      <c r="F23" s="15" t="n"/>
      <c r="G23" s="15" t="n"/>
      <c r="H23" s="15" t="n"/>
    </row>
    <row r="24">
      <c r="A24" s="15" t="n">
        <v>1</v>
      </c>
      <c r="B24" s="15" t="n">
        <v>8</v>
      </c>
      <c r="C24" s="15" t="n"/>
      <c r="D24" s="27" t="n"/>
      <c r="E24" s="15" t="n"/>
      <c r="F24" s="15" t="n"/>
      <c r="G24" s="15" t="n"/>
      <c r="H24" s="15" t="n"/>
    </row>
    <row r="25">
      <c r="A25" s="15" t="n">
        <v>1</v>
      </c>
      <c r="B25" s="15" t="n">
        <v>9</v>
      </c>
      <c r="C25" s="15" t="n"/>
      <c r="D25" s="27" t="n"/>
      <c r="E25" s="15" t="n"/>
      <c r="F25" s="15" t="n"/>
      <c r="G25" s="15" t="n"/>
      <c r="H25" s="15" t="n"/>
    </row>
    <row r="26">
      <c r="A26" s="15" t="n">
        <v>1</v>
      </c>
      <c r="B26" s="15" t="n">
        <v>10</v>
      </c>
      <c r="C26" s="15" t="n"/>
      <c r="D26" s="27" t="n"/>
      <c r="E26" s="15" t="n"/>
      <c r="F26" s="15" t="n"/>
      <c r="G26" s="15" t="n"/>
      <c r="H26" s="15" t="n"/>
    </row>
    <row r="27">
      <c r="A27" s="20" t="n">
        <v>2</v>
      </c>
      <c r="B27" s="20" t="n">
        <v>1</v>
      </c>
      <c r="C27" s="20" t="inlineStr">
        <is>
          <t>Tâmaras sem caroço</t>
        </is>
      </c>
      <c r="D27" s="28" t="n">
        <v>1</v>
      </c>
      <c r="E27" s="20" t="n"/>
      <c r="F27" s="20" t="inlineStr">
        <is>
          <t>cháv.</t>
        </is>
      </c>
      <c r="G27" s="20" t="n">
        <v>150</v>
      </c>
      <c r="H27" s="20" t="inlineStr">
        <is>
          <t>verifica se não há caroços</t>
        </is>
      </c>
    </row>
    <row r="28">
      <c r="A28" s="20" t="n">
        <v>2</v>
      </c>
      <c r="B28" s="20" t="n">
        <v>2</v>
      </c>
      <c r="C28" s="20" t="inlineStr">
        <is>
          <t>Água morna</t>
        </is>
      </c>
      <c r="D28" s="28" t="n">
        <v>2</v>
      </c>
      <c r="E28" s="20" t="n"/>
      <c r="F28" s="20" t="inlineStr">
        <is>
          <t>c. sopa</t>
        </is>
      </c>
      <c r="G28" s="20" t="n"/>
      <c r="H28" s="20" t="inlineStr">
        <is>
          <t>para demolhar as tâmaras</t>
        </is>
      </c>
    </row>
    <row r="29">
      <c r="A29" s="20" t="n">
        <v>2</v>
      </c>
      <c r="B29" s="20" t="n">
        <v>3</v>
      </c>
      <c r="C29" s="20" t="inlineStr">
        <is>
          <t>Flocos de aveia</t>
        </is>
      </c>
      <c r="D29" s="28" t="n">
        <v>1.5</v>
      </c>
      <c r="E29" s="20" t="n"/>
      <c r="F29" s="20" t="inlineStr">
        <is>
          <t>cháv.</t>
        </is>
      </c>
      <c r="G29" s="20" t="n">
        <v>135</v>
      </c>
      <c r="H29" s="20" t="n"/>
    </row>
    <row r="30">
      <c r="A30" s="20" t="n">
        <v>2</v>
      </c>
      <c r="B30" s="20" t="n">
        <v>4</v>
      </c>
      <c r="C30" s="20" t="inlineStr">
        <is>
          <t>Frutos secos picados</t>
        </is>
      </c>
      <c r="D30" s="28" t="n">
        <v>0.5</v>
      </c>
      <c r="E30" s="20" t="n"/>
      <c r="F30" s="20" t="inlineStr">
        <is>
          <t>cháv.</t>
        </is>
      </c>
      <c r="G30" s="20" t="n">
        <v>60</v>
      </c>
      <c r="H30" s="20" t="n"/>
    </row>
    <row r="31">
      <c r="A31" s="20" t="n">
        <v>2</v>
      </c>
      <c r="B31" s="20" t="n">
        <v>5</v>
      </c>
      <c r="C31" s="20" t="inlineStr">
        <is>
          <t>Passas ou arandos secos</t>
        </is>
      </c>
      <c r="D31" s="28" t="n">
        <v>0.25</v>
      </c>
      <c r="E31" s="20" t="n"/>
      <c r="F31" s="20" t="inlineStr">
        <is>
          <t>cháv.</t>
        </is>
      </c>
      <c r="G31" s="20" t="n">
        <v>36</v>
      </c>
      <c r="H31" s="20" t="n"/>
    </row>
    <row r="32">
      <c r="A32" s="20" t="n">
        <v>2</v>
      </c>
      <c r="B32" s="20" t="n">
        <v>6</v>
      </c>
      <c r="C32" s="20" t="inlineStr">
        <is>
          <t>Raspa de limão (quantos limões)</t>
        </is>
      </c>
      <c r="D32" s="28" t="n">
        <v>0.5</v>
      </c>
      <c r="E32" s="20" t="n"/>
      <c r="F32" s="20" t="inlineStr">
        <is>
          <t>limão</t>
        </is>
      </c>
      <c r="G32" s="20" t="n"/>
      <c r="H32" s="20" t="inlineStr">
        <is>
          <t>opcional</t>
        </is>
      </c>
    </row>
    <row r="33">
      <c r="A33" s="20" t="n">
        <v>2</v>
      </c>
      <c r="B33" s="20" t="n">
        <v>7</v>
      </c>
      <c r="C33" s="20" t="n"/>
      <c r="D33" s="28" t="n"/>
      <c r="E33" s="20" t="n"/>
      <c r="F33" s="20" t="n"/>
      <c r="G33" s="20" t="n"/>
      <c r="H33" s="20" t="n"/>
    </row>
    <row r="34">
      <c r="A34" s="20" t="n">
        <v>2</v>
      </c>
      <c r="B34" s="20" t="n">
        <v>8</v>
      </c>
      <c r="C34" s="20" t="n"/>
      <c r="D34" s="28" t="n"/>
      <c r="E34" s="20" t="n"/>
      <c r="F34" s="20" t="n"/>
      <c r="G34" s="20" t="n"/>
      <c r="H34" s="20" t="n"/>
    </row>
    <row r="35">
      <c r="A35" s="20" t="n">
        <v>2</v>
      </c>
      <c r="B35" s="20" t="n">
        <v>9</v>
      </c>
      <c r="C35" s="20" t="n"/>
      <c r="D35" s="28" t="n"/>
      <c r="E35" s="20" t="n"/>
      <c r="F35" s="20" t="n"/>
      <c r="G35" s="20" t="n"/>
      <c r="H35" s="20" t="n"/>
    </row>
    <row r="36">
      <c r="A36" s="20" t="n">
        <v>2</v>
      </c>
      <c r="B36" s="20" t="n">
        <v>10</v>
      </c>
      <c r="C36" s="20" t="n"/>
      <c r="D36" s="28" t="n"/>
      <c r="E36" s="20" t="n"/>
      <c r="F36" s="20" t="n"/>
      <c r="G36" s="20" t="n"/>
      <c r="H36" s="20" t="n"/>
    </row>
    <row r="37">
      <c r="A37" s="15" t="n">
        <v>3</v>
      </c>
      <c r="B37" s="15" t="n">
        <v>1</v>
      </c>
      <c r="C37" s="15" t="inlineStr">
        <is>
          <t>Flocos de aveia</t>
        </is>
      </c>
      <c r="D37" s="27" t="n">
        <v>2</v>
      </c>
      <c r="E37" s="15" t="n"/>
      <c r="F37" s="15" t="inlineStr">
        <is>
          <t>cháv.</t>
        </is>
      </c>
      <c r="G37" s="15" t="n">
        <v>180</v>
      </c>
      <c r="H37" s="15" t="n"/>
    </row>
    <row r="38">
      <c r="A38" s="15" t="n">
        <v>3</v>
      </c>
      <c r="B38" s="15" t="n">
        <v>2</v>
      </c>
      <c r="C38" s="15" t="inlineStr">
        <is>
          <t>Manteiga de amendoim</t>
        </is>
      </c>
      <c r="D38" s="27" t="n">
        <v>0.5</v>
      </c>
      <c r="E38" s="15" t="n"/>
      <c r="F38" s="15" t="inlineStr">
        <is>
          <t>cháv.</t>
        </is>
      </c>
      <c r="G38" s="15" t="n">
        <v>129</v>
      </c>
      <c r="H38" s="15" t="n"/>
    </row>
    <row r="39">
      <c r="A39" s="15" t="n">
        <v>3</v>
      </c>
      <c r="B39" s="15" t="n">
        <v>3</v>
      </c>
      <c r="C39" s="15" t="inlineStr">
        <is>
          <t>Mel</t>
        </is>
      </c>
      <c r="D39" s="27" t="n">
        <v>0.3333</v>
      </c>
      <c r="E39" s="15" t="n"/>
      <c r="F39" s="15" t="inlineStr">
        <is>
          <t>cháv.</t>
        </is>
      </c>
      <c r="G39" s="15" t="n">
        <v>113</v>
      </c>
      <c r="H39" s="15" t="n"/>
    </row>
    <row r="40">
      <c r="A40" s="15" t="n">
        <v>3</v>
      </c>
      <c r="B40" s="15" t="n">
        <v>4</v>
      </c>
      <c r="C40" s="15" t="inlineStr">
        <is>
          <t>Pepitas de chocolate negro</t>
        </is>
      </c>
      <c r="D40" s="27" t="n">
        <v>0.3333</v>
      </c>
      <c r="E40" s="15" t="n"/>
      <c r="F40" s="15" t="inlineStr">
        <is>
          <t>cháv.</t>
        </is>
      </c>
      <c r="G40" s="15" t="n">
        <v>60</v>
      </c>
      <c r="H40" s="15" t="n"/>
    </row>
    <row r="41">
      <c r="A41" s="15" t="n">
        <v>3</v>
      </c>
      <c r="B41" s="15" t="n">
        <v>5</v>
      </c>
      <c r="C41" s="15" t="inlineStr">
        <is>
          <t>Amendoim picado</t>
        </is>
      </c>
      <c r="D41" s="27" t="n">
        <v>0.25</v>
      </c>
      <c r="E41" s="15" t="n"/>
      <c r="F41" s="15" t="inlineStr">
        <is>
          <t>cháv.</t>
        </is>
      </c>
      <c r="G41" s="15" t="n">
        <v>30</v>
      </c>
      <c r="H41" s="15" t="n"/>
    </row>
    <row r="42">
      <c r="A42" s="15" t="n">
        <v>3</v>
      </c>
      <c r="B42" s="15" t="n">
        <v>6</v>
      </c>
      <c r="C42" s="15" t="inlineStr">
        <is>
          <t>Sal</t>
        </is>
      </c>
      <c r="D42" s="27" t="n">
        <v>1</v>
      </c>
      <c r="E42" s="15" t="n"/>
      <c r="F42" s="15" t="inlineStr">
        <is>
          <t>pitada</t>
        </is>
      </c>
      <c r="G42" s="15" t="n"/>
      <c r="H42" s="15" t="inlineStr">
        <is>
          <t>a gosto</t>
        </is>
      </c>
    </row>
    <row r="43">
      <c r="A43" s="15" t="n">
        <v>3</v>
      </c>
      <c r="B43" s="15" t="n">
        <v>7</v>
      </c>
      <c r="C43" s="15" t="n"/>
      <c r="D43" s="27" t="n"/>
      <c r="E43" s="15" t="n"/>
      <c r="F43" s="15" t="n"/>
      <c r="G43" s="15" t="n"/>
      <c r="H43" s="15" t="n"/>
    </row>
    <row r="44">
      <c r="A44" s="15" t="n">
        <v>3</v>
      </c>
      <c r="B44" s="15" t="n">
        <v>8</v>
      </c>
      <c r="C44" s="15" t="n"/>
      <c r="D44" s="27" t="n"/>
      <c r="E44" s="15" t="n"/>
      <c r="F44" s="15" t="n"/>
      <c r="G44" s="15" t="n"/>
      <c r="H44" s="15" t="n"/>
    </row>
    <row r="45">
      <c r="A45" s="15" t="n">
        <v>3</v>
      </c>
      <c r="B45" s="15" t="n">
        <v>9</v>
      </c>
      <c r="C45" s="15" t="n"/>
      <c r="D45" s="27" t="n"/>
      <c r="E45" s="15" t="n"/>
      <c r="F45" s="15" t="n"/>
      <c r="G45" s="15" t="n"/>
      <c r="H45" s="15" t="n"/>
    </row>
    <row r="46">
      <c r="A46" s="15" t="n">
        <v>3</v>
      </c>
      <c r="B46" s="15" t="n">
        <v>10</v>
      </c>
      <c r="C46" s="15" t="n"/>
      <c r="D46" s="27" t="n"/>
      <c r="E46" s="15" t="n"/>
      <c r="F46" s="15" t="n"/>
      <c r="G46" s="15" t="n"/>
      <c r="H46" s="15" t="n"/>
    </row>
    <row r="47">
      <c r="A47" s="20" t="n">
        <v>4</v>
      </c>
      <c r="B47" s="20" t="n">
        <v>1</v>
      </c>
      <c r="C47" s="20" t="inlineStr">
        <is>
          <t>Flocos de aveia</t>
        </is>
      </c>
      <c r="D47" s="28" t="n">
        <v>1</v>
      </c>
      <c r="E47" s="20" t="n"/>
      <c r="F47" s="20" t="inlineStr">
        <is>
          <t>cháv.</t>
        </is>
      </c>
      <c r="G47" s="20" t="n">
        <v>90</v>
      </c>
      <c r="H47" s="20" t="n"/>
    </row>
    <row r="48">
      <c r="A48" s="20" t="n">
        <v>4</v>
      </c>
      <c r="B48" s="20" t="n">
        <v>2</v>
      </c>
      <c r="C48" s="20" t="inlineStr">
        <is>
          <t>Quinoa ou arroz tufado</t>
        </is>
      </c>
      <c r="D48" s="28" t="n">
        <v>1</v>
      </c>
      <c r="E48" s="20" t="n"/>
      <c r="F48" s="20" t="inlineStr">
        <is>
          <t>cháv.</t>
        </is>
      </c>
      <c r="G48" s="20" t="n">
        <v>30</v>
      </c>
      <c r="H48" s="20" t="n"/>
    </row>
    <row r="49">
      <c r="A49" s="20" t="n">
        <v>4</v>
      </c>
      <c r="B49" s="20" t="n">
        <v>3</v>
      </c>
      <c r="C49" s="20" t="inlineStr">
        <is>
          <t>Amêndoa picada</t>
        </is>
      </c>
      <c r="D49" s="28" t="n">
        <v>0.5</v>
      </c>
      <c r="E49" s="20" t="n"/>
      <c r="F49" s="20" t="inlineStr">
        <is>
          <t>cháv.</t>
        </is>
      </c>
      <c r="G49" s="20" t="n">
        <v>60</v>
      </c>
      <c r="H49" s="20" t="n"/>
    </row>
    <row r="50">
      <c r="A50" s="20" t="n">
        <v>4</v>
      </c>
      <c r="B50" s="20" t="n">
        <v>4</v>
      </c>
      <c r="C50" s="20" t="inlineStr">
        <is>
          <t>Noz picada</t>
        </is>
      </c>
      <c r="D50" s="28" t="n">
        <v>0.5</v>
      </c>
      <c r="E50" s="20" t="n"/>
      <c r="F50" s="20" t="inlineStr">
        <is>
          <t>cháv.</t>
        </is>
      </c>
      <c r="G50" s="20" t="n">
        <v>60</v>
      </c>
      <c r="H50" s="20" t="n"/>
    </row>
    <row r="51">
      <c r="A51" s="20" t="n">
        <v>4</v>
      </c>
      <c r="B51" s="20" t="n">
        <v>5</v>
      </c>
      <c r="C51" s="20" t="inlineStr">
        <is>
          <t>Passas</t>
        </is>
      </c>
      <c r="D51" s="28" t="n">
        <v>0.3333</v>
      </c>
      <c r="E51" s="20" t="n"/>
      <c r="F51" s="20" t="inlineStr">
        <is>
          <t>cháv.</t>
        </is>
      </c>
      <c r="G51" s="20" t="n">
        <v>48</v>
      </c>
      <c r="H51" s="20" t="n"/>
    </row>
    <row r="52">
      <c r="A52" s="20" t="n">
        <v>4</v>
      </c>
      <c r="B52" s="20" t="n">
        <v>6</v>
      </c>
      <c r="C52" s="20" t="inlineStr">
        <is>
          <t>Mel</t>
        </is>
      </c>
      <c r="D52" s="28" t="n">
        <v>0.5</v>
      </c>
      <c r="E52" s="20" t="n"/>
      <c r="F52" s="20" t="inlineStr">
        <is>
          <t>cháv.</t>
        </is>
      </c>
      <c r="G52" s="20" t="n">
        <v>170</v>
      </c>
      <c r="H52" s="20" t="n"/>
    </row>
    <row r="53">
      <c r="A53" s="20" t="n">
        <v>4</v>
      </c>
      <c r="B53" s="20" t="n">
        <v>7</v>
      </c>
      <c r="C53" s="20" t="inlineStr">
        <is>
          <t>Manteiga de amendoim</t>
        </is>
      </c>
      <c r="D53" s="28" t="n">
        <v>2</v>
      </c>
      <c r="E53" s="20" t="n"/>
      <c r="F53" s="20" t="inlineStr">
        <is>
          <t>c. sopa</t>
        </is>
      </c>
      <c r="G53" s="20" t="n">
        <v>32</v>
      </c>
      <c r="H53" s="20" t="n"/>
    </row>
    <row r="54">
      <c r="A54" s="20" t="n">
        <v>4</v>
      </c>
      <c r="B54" s="20" t="n">
        <v>8</v>
      </c>
      <c r="C54" s="20" t="inlineStr">
        <is>
          <t>Canela</t>
        </is>
      </c>
      <c r="D54" s="28" t="n">
        <v>1</v>
      </c>
      <c r="E54" s="20" t="n"/>
      <c r="F54" s="20" t="inlineStr">
        <is>
          <t>c. chá</t>
        </is>
      </c>
      <c r="G54" s="20" t="n"/>
      <c r="H54" s="20" t="n"/>
    </row>
    <row r="55">
      <c r="A55" s="20" t="n">
        <v>4</v>
      </c>
      <c r="B55" s="20" t="n">
        <v>9</v>
      </c>
      <c r="C55" s="20" t="n"/>
      <c r="D55" s="28" t="n"/>
      <c r="E55" s="20" t="n"/>
      <c r="F55" s="20" t="n"/>
      <c r="G55" s="20" t="n"/>
      <c r="H55" s="20" t="n"/>
    </row>
    <row r="56">
      <c r="A56" s="20" t="n">
        <v>4</v>
      </c>
      <c r="B56" s="20" t="n">
        <v>10</v>
      </c>
      <c r="C56" s="20" t="n"/>
      <c r="D56" s="28" t="n"/>
      <c r="E56" s="20" t="n"/>
      <c r="F56" s="20" t="n"/>
      <c r="G56" s="20" t="n"/>
      <c r="H56" s="20" t="n"/>
    </row>
    <row r="57">
      <c r="A57" s="15" t="n">
        <v>5</v>
      </c>
      <c r="B57" s="15" t="n">
        <v>1</v>
      </c>
      <c r="C57" s="15" t="inlineStr">
        <is>
          <t>Flocos de aveia</t>
        </is>
      </c>
      <c r="D57" s="27" t="n">
        <v>1.5</v>
      </c>
      <c r="E57" s="15" t="n"/>
      <c r="F57" s="15" t="inlineStr">
        <is>
          <t>cháv.</t>
        </is>
      </c>
      <c r="G57" s="15" t="n">
        <v>135</v>
      </c>
      <c r="H57" s="15" t="n"/>
    </row>
    <row r="58">
      <c r="A58" s="15" t="n">
        <v>5</v>
      </c>
      <c r="B58" s="15" t="n">
        <v>2</v>
      </c>
      <c r="C58" s="15" t="inlineStr">
        <is>
          <t>Farinha integral</t>
        </is>
      </c>
      <c r="D58" s="27" t="n">
        <v>0.5</v>
      </c>
      <c r="E58" s="15" t="n"/>
      <c r="F58" s="15" t="inlineStr">
        <is>
          <t>cháv.</t>
        </is>
      </c>
      <c r="G58" s="15" t="n">
        <v>60</v>
      </c>
      <c r="H58" s="15" t="n"/>
    </row>
    <row r="59">
      <c r="A59" s="15" t="n">
        <v>5</v>
      </c>
      <c r="B59" s="15" t="n">
        <v>3</v>
      </c>
      <c r="C59" s="15" t="inlineStr">
        <is>
          <t>Maçã média, descascada e ralada</t>
        </is>
      </c>
      <c r="D59" s="27" t="n">
        <v>1</v>
      </c>
      <c r="E59" s="15" t="n"/>
      <c r="F59" s="15" t="inlineStr">
        <is>
          <t>un.</t>
        </is>
      </c>
      <c r="G59" s="15" t="n"/>
      <c r="H59" s="15" t="inlineStr">
        <is>
          <t>arredondado para cima</t>
        </is>
      </c>
    </row>
    <row r="60">
      <c r="A60" s="15" t="n">
        <v>5</v>
      </c>
      <c r="B60" s="15" t="n">
        <v>4</v>
      </c>
      <c r="C60" s="15" t="inlineStr">
        <is>
          <t>Ovo</t>
        </is>
      </c>
      <c r="D60" s="27" t="n">
        <v>1</v>
      </c>
      <c r="E60" s="15" t="n"/>
      <c r="F60" s="15" t="inlineStr">
        <is>
          <t>un.</t>
        </is>
      </c>
      <c r="G60" s="15" t="n"/>
      <c r="H60" s="15" t="inlineStr">
        <is>
          <t>arredondado para cima</t>
        </is>
      </c>
    </row>
    <row r="61">
      <c r="A61" s="15" t="n">
        <v>5</v>
      </c>
      <c r="B61" s="15" t="n">
        <v>5</v>
      </c>
      <c r="C61" s="15" t="inlineStr">
        <is>
          <t>Óleo neutro</t>
        </is>
      </c>
      <c r="D61" s="27" t="n">
        <v>3</v>
      </c>
      <c r="E61" s="15" t="n"/>
      <c r="F61" s="15" t="inlineStr">
        <is>
          <t>c. sopa</t>
        </is>
      </c>
      <c r="G61" s="15" t="n"/>
      <c r="H61" s="15" t="n"/>
    </row>
    <row r="62">
      <c r="A62" s="15" t="n">
        <v>5</v>
      </c>
      <c r="B62" s="15" t="n">
        <v>6</v>
      </c>
      <c r="C62" s="15" t="inlineStr">
        <is>
          <t>Canela</t>
        </is>
      </c>
      <c r="D62" s="27" t="n">
        <v>1</v>
      </c>
      <c r="E62" s="15" t="n"/>
      <c r="F62" s="15" t="inlineStr">
        <is>
          <t>c. chá</t>
        </is>
      </c>
      <c r="G62" s="15" t="n"/>
      <c r="H62" s="15" t="n"/>
    </row>
    <row r="63">
      <c r="A63" s="15" t="n">
        <v>5</v>
      </c>
      <c r="B63" s="15" t="n">
        <v>7</v>
      </c>
      <c r="C63" s="15" t="inlineStr">
        <is>
          <t>Adoçante líquido</t>
        </is>
      </c>
      <c r="D63" s="27" t="n">
        <v>8</v>
      </c>
      <c r="E63" s="15" t="n">
        <v>10</v>
      </c>
      <c r="F63" s="15" t="inlineStr">
        <is>
          <t>gotas</t>
        </is>
      </c>
      <c r="G63" s="15" t="n"/>
      <c r="H63" s="15" t="inlineStr">
        <is>
          <t>ou 2 c. sopa de mel por fornada do livro</t>
        </is>
      </c>
    </row>
    <row r="64">
      <c r="A64" s="15" t="n">
        <v>5</v>
      </c>
      <c r="B64" s="15" t="n">
        <v>8</v>
      </c>
      <c r="C64" s="15" t="inlineStr">
        <is>
          <t>Pepitas de chocolate negro</t>
        </is>
      </c>
      <c r="D64" s="27" t="n">
        <v>0.5</v>
      </c>
      <c r="E64" s="15" t="n"/>
      <c r="F64" s="15" t="inlineStr">
        <is>
          <t>cháv.</t>
        </is>
      </c>
      <c r="G64" s="15" t="n">
        <v>85</v>
      </c>
      <c r="H64" s="15" t="inlineStr">
        <is>
          <t>opcional</t>
        </is>
      </c>
    </row>
    <row r="65">
      <c r="A65" s="15" t="n">
        <v>5</v>
      </c>
      <c r="B65" s="15" t="n">
        <v>9</v>
      </c>
      <c r="C65" s="15" t="n"/>
      <c r="D65" s="27" t="n"/>
      <c r="E65" s="15" t="n"/>
      <c r="F65" s="15" t="n"/>
      <c r="G65" s="15" t="n"/>
      <c r="H65" s="15" t="n"/>
    </row>
    <row r="66">
      <c r="A66" s="15" t="n">
        <v>5</v>
      </c>
      <c r="B66" s="15" t="n">
        <v>10</v>
      </c>
      <c r="C66" s="15" t="n"/>
      <c r="D66" s="27" t="n"/>
      <c r="E66" s="15" t="n"/>
      <c r="F66" s="15" t="n"/>
      <c r="G66" s="15" t="n"/>
      <c r="H66" s="15" t="n"/>
    </row>
    <row r="67" ht="28.8" customHeight="1" s="30">
      <c r="A67" s="20" t="n">
        <v>6</v>
      </c>
      <c r="B67" s="20" t="n">
        <v>1</v>
      </c>
      <c r="C67" s="20" t="inlineStr">
        <is>
          <t>Cenouras médias raladas</t>
        </is>
      </c>
      <c r="D67" s="28" t="n">
        <v>2</v>
      </c>
      <c r="E67" s="20" t="n"/>
      <c r="F67" s="20" t="inlineStr">
        <is>
          <t>un.</t>
        </is>
      </c>
      <c r="G67" s="20" t="n"/>
      <c r="H67" s="20" t="inlineStr">
        <is>
          <t>cerca de 1 1/2 cháv. ralada por bolo; arredondado para cima</t>
        </is>
      </c>
    </row>
    <row r="68">
      <c r="A68" s="20" t="n">
        <v>6</v>
      </c>
      <c r="B68" s="20" t="n">
        <v>2</v>
      </c>
      <c r="C68" s="20" t="inlineStr">
        <is>
          <t>Ovos</t>
        </is>
      </c>
      <c r="D68" s="28" t="n">
        <v>2</v>
      </c>
      <c r="E68" s="20" t="n"/>
      <c r="F68" s="20" t="inlineStr">
        <is>
          <t>un.</t>
        </is>
      </c>
      <c r="G68" s="20" t="n"/>
      <c r="H68" s="20" t="inlineStr">
        <is>
          <t>arredondado para cima</t>
        </is>
      </c>
    </row>
    <row r="69">
      <c r="A69" s="20" t="n">
        <v>6</v>
      </c>
      <c r="B69" s="20" t="n">
        <v>3</v>
      </c>
      <c r="C69" s="20" t="inlineStr">
        <is>
          <t>Óleo neutro</t>
        </is>
      </c>
      <c r="D69" s="28" t="n">
        <v>0.5</v>
      </c>
      <c r="E69" s="20" t="n"/>
      <c r="F69" s="20" t="inlineStr">
        <is>
          <t>cháv.</t>
        </is>
      </c>
      <c r="G69" s="20" t="n"/>
      <c r="H69" s="20" t="n"/>
    </row>
    <row r="70">
      <c r="A70" s="20" t="n">
        <v>6</v>
      </c>
      <c r="B70" s="20" t="n">
        <v>4</v>
      </c>
      <c r="C70" s="20" t="inlineStr">
        <is>
          <t>Mel</t>
        </is>
      </c>
      <c r="D70" s="28" t="n">
        <v>0.3333</v>
      </c>
      <c r="E70" s="20" t="n"/>
      <c r="F70" s="20" t="inlineStr">
        <is>
          <t>cháv.</t>
        </is>
      </c>
      <c r="G70" s="20" t="n">
        <v>113</v>
      </c>
      <c r="H70" s="20" t="n"/>
    </row>
    <row r="71">
      <c r="A71" s="20" t="n">
        <v>6</v>
      </c>
      <c r="B71" s="20" t="n">
        <v>5</v>
      </c>
      <c r="C71" s="20" t="inlineStr">
        <is>
          <t>Farinha integral</t>
        </is>
      </c>
      <c r="D71" s="28" t="n">
        <v>1.5</v>
      </c>
      <c r="E71" s="20" t="n"/>
      <c r="F71" s="20" t="inlineStr">
        <is>
          <t>cháv.</t>
        </is>
      </c>
      <c r="G71" s="20" t="n">
        <v>180</v>
      </c>
      <c r="H71" s="20" t="n"/>
    </row>
    <row r="72">
      <c r="A72" s="20" t="n">
        <v>6</v>
      </c>
      <c r="B72" s="20" t="n">
        <v>6</v>
      </c>
      <c r="C72" s="20" t="inlineStr">
        <is>
          <t>Fermento em pó</t>
        </is>
      </c>
      <c r="D72" s="28" t="n">
        <v>1</v>
      </c>
      <c r="E72" s="20" t="n"/>
      <c r="F72" s="20" t="inlineStr">
        <is>
          <t>c. chá</t>
        </is>
      </c>
      <c r="G72" s="20" t="n"/>
      <c r="H72" s="20" t="n"/>
    </row>
    <row r="73">
      <c r="A73" s="20" t="n">
        <v>6</v>
      </c>
      <c r="B73" s="20" t="n">
        <v>7</v>
      </c>
      <c r="C73" s="20" t="inlineStr">
        <is>
          <t>Canela</t>
        </is>
      </c>
      <c r="D73" s="28" t="n">
        <v>1</v>
      </c>
      <c r="E73" s="20" t="n"/>
      <c r="F73" s="20" t="inlineStr">
        <is>
          <t>c. chá</t>
        </is>
      </c>
      <c r="G73" s="20" t="n"/>
      <c r="H73" s="20" t="n"/>
    </row>
    <row r="74">
      <c r="A74" s="20" t="n">
        <v>6</v>
      </c>
      <c r="B74" s="20" t="n">
        <v>8</v>
      </c>
      <c r="C74" s="20" t="inlineStr">
        <is>
          <t>Noz picada</t>
        </is>
      </c>
      <c r="D74" s="28" t="n">
        <v>0.5</v>
      </c>
      <c r="E74" s="20" t="n"/>
      <c r="F74" s="20" t="inlineStr">
        <is>
          <t>cháv.</t>
        </is>
      </c>
      <c r="G74" s="20" t="n">
        <v>60</v>
      </c>
      <c r="H74" s="20" t="inlineStr">
        <is>
          <t>opcional</t>
        </is>
      </c>
    </row>
    <row r="75">
      <c r="A75" s="20" t="n">
        <v>6</v>
      </c>
      <c r="B75" s="20" t="n">
        <v>9</v>
      </c>
      <c r="C75" s="20" t="n"/>
      <c r="D75" s="28" t="n"/>
      <c r="E75" s="20" t="n"/>
      <c r="F75" s="20" t="n"/>
      <c r="G75" s="20" t="n"/>
      <c r="H75" s="20" t="n"/>
    </row>
    <row r="76">
      <c r="A76" s="20" t="n">
        <v>6</v>
      </c>
      <c r="B76" s="20" t="n">
        <v>10</v>
      </c>
      <c r="C76" s="20" t="n"/>
      <c r="D76" s="28" t="n"/>
      <c r="E76" s="20" t="n"/>
      <c r="F76" s="20" t="n"/>
      <c r="G76" s="20" t="n"/>
      <c r="H76" s="20" t="n"/>
    </row>
    <row r="77">
      <c r="A77" s="15" t="n">
        <v>7</v>
      </c>
      <c r="B77" s="15" t="n">
        <v>1</v>
      </c>
      <c r="C77" s="15" t="inlineStr">
        <is>
          <t>Tâmaras sem caroço</t>
        </is>
      </c>
      <c r="D77" s="27" t="n">
        <v>1</v>
      </c>
      <c r="E77" s="15" t="n"/>
      <c r="F77" s="15" t="inlineStr">
        <is>
          <t>cháv.</t>
        </is>
      </c>
      <c r="G77" s="15" t="n">
        <v>150</v>
      </c>
      <c r="H77" s="15" t="inlineStr">
        <is>
          <t>verifica se não há caroços</t>
        </is>
      </c>
    </row>
    <row r="78">
      <c r="A78" s="15" t="n">
        <v>7</v>
      </c>
      <c r="B78" s="15" t="n">
        <v>2</v>
      </c>
      <c r="C78" s="15" t="inlineStr">
        <is>
          <t>Flocos de aveia</t>
        </is>
      </c>
      <c r="D78" s="27" t="n">
        <v>1</v>
      </c>
      <c r="E78" s="15" t="n"/>
      <c r="F78" s="15" t="inlineStr">
        <is>
          <t>cháv.</t>
        </is>
      </c>
      <c r="G78" s="15" t="n">
        <v>90</v>
      </c>
      <c r="H78" s="15" t="n"/>
    </row>
    <row r="79">
      <c r="A79" s="15" t="n">
        <v>7</v>
      </c>
      <c r="B79" s="15" t="n">
        <v>3</v>
      </c>
      <c r="C79" s="15" t="inlineStr">
        <is>
          <t>Cacau sem açúcar</t>
        </is>
      </c>
      <c r="D79" s="27" t="n">
        <v>0.25</v>
      </c>
      <c r="E79" s="15" t="n"/>
      <c r="F79" s="15" t="inlineStr">
        <is>
          <t>cháv.</t>
        </is>
      </c>
      <c r="G79" s="15" t="n">
        <v>25</v>
      </c>
      <c r="H79" s="15" t="n"/>
    </row>
    <row r="80">
      <c r="A80" s="15" t="n">
        <v>7</v>
      </c>
      <c r="B80" s="15" t="n">
        <v>4</v>
      </c>
      <c r="C80" s="15" t="inlineStr">
        <is>
          <t>Manteiga de amendoim</t>
        </is>
      </c>
      <c r="D80" s="27" t="n">
        <v>2</v>
      </c>
      <c r="E80" s="15" t="n"/>
      <c r="F80" s="15" t="inlineStr">
        <is>
          <t>c. sopa</t>
        </is>
      </c>
      <c r="G80" s="15" t="n">
        <v>32</v>
      </c>
      <c r="H80" s="15" t="n"/>
    </row>
    <row r="81">
      <c r="A81" s="15" t="n">
        <v>7</v>
      </c>
      <c r="B81" s="15" t="n">
        <v>5</v>
      </c>
      <c r="C81" s="15" t="inlineStr">
        <is>
          <t>Água morna</t>
        </is>
      </c>
      <c r="D81" s="27" t="n">
        <v>1</v>
      </c>
      <c r="E81" s="15" t="n"/>
      <c r="F81" s="15" t="inlineStr">
        <is>
          <t>c. sopa</t>
        </is>
      </c>
      <c r="G81" s="15" t="n"/>
      <c r="H81" s="15" t="inlineStr">
        <is>
          <t>só se a mistura estiver seca</t>
        </is>
      </c>
    </row>
    <row r="82">
      <c r="A82" s="15" t="n">
        <v>7</v>
      </c>
      <c r="B82" s="15" t="n">
        <v>6</v>
      </c>
      <c r="C82" s="15" t="inlineStr">
        <is>
          <t>Coco ralado</t>
        </is>
      </c>
      <c r="D82" s="27" t="n"/>
      <c r="E82" s="15" t="n"/>
      <c r="F82" s="15" t="n"/>
      <c r="G82" s="15" t="n"/>
      <c r="H82" s="15" t="inlineStr">
        <is>
          <t>para envolver, opcional – quantidade a gosto</t>
        </is>
      </c>
    </row>
    <row r="83">
      <c r="A83" s="15" t="n">
        <v>7</v>
      </c>
      <c r="B83" s="15" t="n">
        <v>7</v>
      </c>
      <c r="C83" s="15" t="n"/>
      <c r="D83" s="27" t="n"/>
      <c r="E83" s="15" t="n"/>
      <c r="F83" s="15" t="n"/>
      <c r="G83" s="15" t="n"/>
      <c r="H83" s="15" t="n"/>
    </row>
    <row r="84">
      <c r="A84" s="15" t="n">
        <v>7</v>
      </c>
      <c r="B84" s="15" t="n">
        <v>8</v>
      </c>
      <c r="C84" s="15" t="n"/>
      <c r="D84" s="27" t="n"/>
      <c r="E84" s="15" t="n"/>
      <c r="F84" s="15" t="n"/>
      <c r="G84" s="15" t="n"/>
      <c r="H84" s="15" t="n"/>
    </row>
    <row r="85">
      <c r="A85" s="15" t="n">
        <v>7</v>
      </c>
      <c r="B85" s="15" t="n">
        <v>9</v>
      </c>
      <c r="C85" s="15" t="n"/>
      <c r="D85" s="27" t="n"/>
      <c r="E85" s="15" t="n"/>
      <c r="F85" s="15" t="n"/>
      <c r="G85" s="15" t="n"/>
      <c r="H85" s="15" t="n"/>
    </row>
    <row r="86">
      <c r="A86" s="15" t="n">
        <v>7</v>
      </c>
      <c r="B86" s="15" t="n">
        <v>10</v>
      </c>
      <c r="C86" s="15" t="n"/>
      <c r="D86" s="27" t="n"/>
      <c r="E86" s="15" t="n"/>
      <c r="F86" s="15" t="n"/>
      <c r="G86" s="15" t="n"/>
      <c r="H86" s="15" t="n"/>
    </row>
    <row r="87">
      <c r="A87" s="20" t="n">
        <v>8</v>
      </c>
      <c r="B87" s="20" t="n">
        <v>1</v>
      </c>
      <c r="C87" s="20" t="inlineStr">
        <is>
          <t>Granola da parte 1</t>
        </is>
      </c>
      <c r="D87" s="28" t="n">
        <v>4</v>
      </c>
      <c r="E87" s="20" t="n"/>
      <c r="F87" s="20" t="inlineStr">
        <is>
          <t>cháv.</t>
        </is>
      </c>
      <c r="G87" s="20" t="n"/>
      <c r="H87" s="20" t="n"/>
    </row>
    <row r="88">
      <c r="A88" s="20" t="n">
        <v>8</v>
      </c>
      <c r="B88" s="20" t="n">
        <v>2</v>
      </c>
      <c r="C88" s="20" t="inlineStr">
        <is>
          <t>Tâmaras sem caroço</t>
        </is>
      </c>
      <c r="D88" s="28" t="n">
        <v>6</v>
      </c>
      <c r="E88" s="20" t="n">
        <v>8</v>
      </c>
      <c r="F88" s="20" t="inlineStr">
        <is>
          <t>un.</t>
        </is>
      </c>
      <c r="G88" s="20" t="n"/>
      <c r="H88" s="20" t="inlineStr">
        <is>
          <t>verifica se não há caroços</t>
        </is>
      </c>
    </row>
    <row r="89">
      <c r="A89" s="20" t="n">
        <v>8</v>
      </c>
      <c r="B89" s="20" t="n">
        <v>3</v>
      </c>
      <c r="C89" s="20" t="inlineStr">
        <is>
          <t>Arandos secos</t>
        </is>
      </c>
      <c r="D89" s="28" t="n">
        <v>1</v>
      </c>
      <c r="E89" s="20" t="n"/>
      <c r="F89" s="20" t="inlineStr">
        <is>
          <t>punhado</t>
        </is>
      </c>
      <c r="G89" s="20" t="n"/>
      <c r="H89" s="20" t="inlineStr">
        <is>
          <t>opcional</t>
        </is>
      </c>
    </row>
    <row r="90">
      <c r="A90" s="20" t="n">
        <v>8</v>
      </c>
      <c r="B90" s="20" t="n">
        <v>4</v>
      </c>
      <c r="C90" s="20" t="inlineStr">
        <is>
          <t>Sementes de chia</t>
        </is>
      </c>
      <c r="D90" s="28" t="n">
        <v>2</v>
      </c>
      <c r="E90" s="20" t="n"/>
      <c r="F90" s="20" t="inlineStr">
        <is>
          <t>c. sopa</t>
        </is>
      </c>
      <c r="G90" s="20" t="n"/>
      <c r="H90" s="20" t="n"/>
    </row>
    <row r="91">
      <c r="A91" s="20" t="n">
        <v>8</v>
      </c>
      <c r="B91" s="20" t="n">
        <v>5</v>
      </c>
      <c r="C91" s="20" t="inlineStr">
        <is>
          <t>Mel</t>
        </is>
      </c>
      <c r="D91" s="28" t="n">
        <v>0.5</v>
      </c>
      <c r="E91" s="20" t="n"/>
      <c r="F91" s="20" t="inlineStr">
        <is>
          <t>cháv.</t>
        </is>
      </c>
      <c r="G91" s="20" t="n">
        <v>170</v>
      </c>
      <c r="H91" s="20" t="inlineStr">
        <is>
          <t>gramas segundo as medidas de outras receitas do livro</t>
        </is>
      </c>
    </row>
    <row r="92">
      <c r="A92" s="20" t="n">
        <v>8</v>
      </c>
      <c r="B92" s="20" t="n">
        <v>6</v>
      </c>
      <c r="C92" s="20" t="inlineStr">
        <is>
          <t>Manteiga de amendoim</t>
        </is>
      </c>
      <c r="D92" s="28" t="n">
        <v>0.5</v>
      </c>
      <c r="E92" s="20" t="n"/>
      <c r="F92" s="20" t="inlineStr">
        <is>
          <t>cháv.</t>
        </is>
      </c>
      <c r="G92" s="20" t="n">
        <v>129</v>
      </c>
      <c r="H92" s="20" t="inlineStr">
        <is>
          <t>gramas segundo as medidas de outras receitas do livro</t>
        </is>
      </c>
    </row>
    <row r="93">
      <c r="A93" s="20" t="n">
        <v>8</v>
      </c>
      <c r="B93" s="20" t="n">
        <v>7</v>
      </c>
      <c r="C93" s="20" t="n"/>
      <c r="D93" s="28" t="n"/>
      <c r="E93" s="20" t="n"/>
      <c r="F93" s="20" t="n"/>
      <c r="G93" s="20" t="n"/>
      <c r="H93" s="20" t="n"/>
    </row>
    <row r="94">
      <c r="A94" s="20" t="n">
        <v>8</v>
      </c>
      <c r="B94" s="20" t="n">
        <v>8</v>
      </c>
      <c r="C94" s="20" t="n"/>
      <c r="D94" s="28" t="n"/>
      <c r="E94" s="20" t="n"/>
      <c r="F94" s="20" t="n"/>
      <c r="G94" s="20" t="n"/>
      <c r="H94" s="20" t="n"/>
    </row>
    <row r="95">
      <c r="A95" s="20" t="n">
        <v>8</v>
      </c>
      <c r="B95" s="20" t="n">
        <v>9</v>
      </c>
      <c r="C95" s="20" t="n"/>
      <c r="D95" s="28" t="n"/>
      <c r="E95" s="20" t="n"/>
      <c r="F95" s="20" t="n"/>
      <c r="G95" s="20" t="n"/>
      <c r="H95" s="20" t="n"/>
    </row>
    <row r="96">
      <c r="A96" s="20" t="n">
        <v>8</v>
      </c>
      <c r="B96" s="20" t="n">
        <v>10</v>
      </c>
      <c r="C96" s="20" t="n"/>
      <c r="D96" s="28" t="n"/>
      <c r="E96" s="20" t="n"/>
      <c r="F96" s="20" t="n"/>
      <c r="G96" s="20" t="n"/>
      <c r="H96" s="20" t="n"/>
    </row>
    <row r="97">
      <c r="A97" s="15" t="n">
        <v>9</v>
      </c>
      <c r="B97" s="15" t="n">
        <v>1</v>
      </c>
      <c r="C97" s="26" t="n"/>
      <c r="D97" s="29" t="n"/>
      <c r="E97" s="26" t="n"/>
      <c r="F97" s="26" t="n"/>
      <c r="G97" s="26" t="n"/>
      <c r="H97" s="26" t="n"/>
    </row>
    <row r="98">
      <c r="A98" s="15" t="n">
        <v>9</v>
      </c>
      <c r="B98" s="15" t="n">
        <v>2</v>
      </c>
      <c r="C98" s="26" t="n"/>
      <c r="D98" s="29" t="n"/>
      <c r="E98" s="26" t="n"/>
      <c r="F98" s="26" t="n"/>
      <c r="G98" s="26" t="n"/>
      <c r="H98" s="26" t="n"/>
    </row>
    <row r="99">
      <c r="A99" s="15" t="n">
        <v>9</v>
      </c>
      <c r="B99" s="15" t="n">
        <v>3</v>
      </c>
      <c r="C99" s="26" t="n"/>
      <c r="D99" s="29" t="n"/>
      <c r="E99" s="26" t="n"/>
      <c r="F99" s="26" t="n"/>
      <c r="G99" s="26" t="n"/>
      <c r="H99" s="26" t="n"/>
    </row>
    <row r="100">
      <c r="A100" s="15" t="n">
        <v>9</v>
      </c>
      <c r="B100" s="15" t="n">
        <v>4</v>
      </c>
      <c r="C100" s="26" t="n"/>
      <c r="D100" s="29" t="n"/>
      <c r="E100" s="26" t="n"/>
      <c r="F100" s="26" t="n"/>
      <c r="G100" s="26" t="n"/>
      <c r="H100" s="26" t="n"/>
    </row>
    <row r="101">
      <c r="A101" s="15" t="n">
        <v>9</v>
      </c>
      <c r="B101" s="15" t="n">
        <v>5</v>
      </c>
      <c r="C101" s="26" t="n"/>
      <c r="D101" s="29" t="n"/>
      <c r="E101" s="26" t="n"/>
      <c r="F101" s="26" t="n"/>
      <c r="G101" s="26" t="n"/>
      <c r="H101" s="26" t="n"/>
    </row>
    <row r="102">
      <c r="A102" s="15" t="n">
        <v>9</v>
      </c>
      <c r="B102" s="15" t="n">
        <v>6</v>
      </c>
      <c r="C102" s="26" t="n"/>
      <c r="D102" s="29" t="n"/>
      <c r="E102" s="26" t="n"/>
      <c r="F102" s="26" t="n"/>
      <c r="G102" s="26" t="n"/>
      <c r="H102" s="26" t="n"/>
    </row>
    <row r="103">
      <c r="A103" s="15" t="n">
        <v>9</v>
      </c>
      <c r="B103" s="15" t="n">
        <v>7</v>
      </c>
      <c r="C103" s="26" t="n"/>
      <c r="D103" s="29" t="n"/>
      <c r="E103" s="26" t="n"/>
      <c r="F103" s="26" t="n"/>
      <c r="G103" s="26" t="n"/>
      <c r="H103" s="26" t="n"/>
    </row>
    <row r="104">
      <c r="A104" s="15" t="n">
        <v>9</v>
      </c>
      <c r="B104" s="15" t="n">
        <v>8</v>
      </c>
      <c r="C104" s="26" t="n"/>
      <c r="D104" s="29" t="n"/>
      <c r="E104" s="26" t="n"/>
      <c r="F104" s="26" t="n"/>
      <c r="G104" s="26" t="n"/>
      <c r="H104" s="26" t="n"/>
    </row>
    <row r="105">
      <c r="A105" s="15" t="n">
        <v>9</v>
      </c>
      <c r="B105" s="15" t="n">
        <v>9</v>
      </c>
      <c r="C105" s="26" t="n"/>
      <c r="D105" s="29" t="n"/>
      <c r="E105" s="26" t="n"/>
      <c r="F105" s="26" t="n"/>
      <c r="G105" s="26" t="n"/>
      <c r="H105" s="26" t="n"/>
    </row>
    <row r="106">
      <c r="A106" s="15" t="n">
        <v>9</v>
      </c>
      <c r="B106" s="15" t="n">
        <v>10</v>
      </c>
      <c r="C106" s="26" t="n"/>
      <c r="D106" s="29" t="n"/>
      <c r="E106" s="26" t="n"/>
      <c r="F106" s="26" t="n"/>
      <c r="G106" s="26" t="n"/>
      <c r="H106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2026-10-09T14:08:14Z</dcterms:created>
  <dcterms:modified xmlns:dcterms="http://purl.org/dc/terms/" xmlns:xsi="http://www.w3.org/2001/XMLSchema-instance" xsi:type="dcterms:W3CDTF">2026-10-09T16:04:35Z</dcterms:modified>
  <cp:lastModifiedBy>Lucas Vetrugno</cp:lastModifiedBy>
</cp:coreProperties>
</file>