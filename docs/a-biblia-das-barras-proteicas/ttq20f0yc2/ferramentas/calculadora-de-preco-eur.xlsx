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Calculadora" sheetId="2" state="visible" r:id="rId2"/>
    <sheet xmlns:r="http://schemas.openxmlformats.org/officeDocument/2006/relationships" name="A minha receita 2" sheetId="3" state="visible" r:id="rId3"/>
    <sheet xmlns:r="http://schemas.openxmlformats.org/officeDocument/2006/relationships" name="A minha receita 3" sheetId="4" state="visible" r:id="rId4"/>
    <sheet xmlns:r="http://schemas.openxmlformats.org/officeDocument/2006/relationships" name="Comparação" sheetId="5" state="visible" r:id="rId5"/>
  </sheets>
  <definedNames>
    <definedName name="_xlnm.Print_Area" localSheetId="1">'Calculadora'!$A$1:$G$60</definedName>
    <definedName name="_xlnm.Print_Area" localSheetId="2">'A minha receita 2'!$A$1:$G$60</definedName>
    <definedName name="_xlnm.Print_Area" localSheetId="3">'A minha receita 3'!$A$1:$G$60</definedName>
  </definedNames>
  <calcPr calcId="124519" fullCalcOnLoad="1"/>
</workbook>
</file>

<file path=xl/styles.xml><?xml version="1.0" encoding="utf-8"?>
<styleSheet xmlns="http://schemas.openxmlformats.org/spreadsheetml/2006/main">
  <numFmts count="7">
    <numFmt numFmtId="164" formatCode="#,##0.##"/>
    <numFmt numFmtId="165" formatCode="#,##0.00 &quot;zł&quot;"/>
    <numFmt numFmtId="166" formatCode="0 &quot;szt.&quot;"/>
    <numFmt numFmtId="167" formatCode="0 &quot;partii&quot;"/>
    <numFmt numFmtId="168" formatCode="#,##0.00 &quot;€&quot;"/>
    <numFmt numFmtId="169" formatCode="0 &quot;un.&quot;"/>
    <numFmt numFmtId="170" formatCode="0 &quot;fornadas&quot;"/>
  </numFmts>
  <fonts count="15">
    <font>
      <name val="Calibri"/>
      <family val="2"/>
      <color theme="1"/>
      <sz val="11"/>
      <scheme val="minor"/>
    </font>
    <font>
      <b val="1"/>
      <color rgb="00B5DF00"/>
      <sz val="20"/>
    </font>
    <font>
      <i val="1"/>
      <color rgb="00FFFFFF"/>
      <sz val="11"/>
    </font>
    <font>
      <sz val="11"/>
    </font>
    <font>
      <b val="1"/>
      <color rgb="000B0B0B"/>
      <sz val="13"/>
    </font>
    <font>
      <b val="1"/>
      <sz val="11"/>
    </font>
    <font>
      <i val="1"/>
      <color rgb="00FFFFFF"/>
    </font>
    <font>
      <b val="1"/>
    </font>
    <font/>
    <font>
      <b val="1"/>
      <sz val="13"/>
    </font>
    <font>
      <b val="1"/>
      <color rgb="00FFFFFF"/>
    </font>
    <font>
      <b val="1"/>
      <sz val="12"/>
    </font>
    <font>
      <i val="1"/>
      <color rgb="00777777"/>
    </font>
    <font>
      <b val="1"/>
      <color rgb="00C00000"/>
    </font>
    <font>
      <b val="1"/>
      <color rgb="00B5DF00"/>
      <sz val="18"/>
    </font>
  </fonts>
  <fills count="5">
    <fill>
      <patternFill/>
    </fill>
    <fill>
      <patternFill patternType="gray125"/>
    </fill>
    <fill>
      <patternFill patternType="solid">
        <fgColor rgb="000B0B0B"/>
      </patternFill>
    </fill>
    <fill>
      <patternFill patternType="solid">
        <fgColor rgb="00FFF6BF"/>
      </patternFill>
    </fill>
    <fill>
      <patternFill patternType="solid">
        <fgColor rgb="00B5DF00"/>
      </patternFill>
    </fill>
  </fills>
  <borders count="7">
    <border>
      <left/>
      <right/>
      <top/>
      <bottom/>
      <diagonal/>
    </border>
    <border>
      <bottom style="medium">
        <color rgb="00B5DF00"/>
      </bottom>
    </border>
    <border>
      <left style="thin">
        <color rgb="00E3E1DA"/>
      </left>
      <right style="thin">
        <color rgb="00E3E1DA"/>
      </right>
      <top style="thin">
        <color rgb="00E3E1DA"/>
      </top>
      <bottom style="thin">
        <color rgb="00E3E1DA"/>
      </bottom>
    </border>
    <border>
      <left/>
      <right/>
      <top style="thin">
        <color rgb="00E3E1DA"/>
      </top>
      <bottom/>
      <diagonal/>
    </border>
    <border>
      <left/>
      <right style="thin">
        <color rgb="00E3E1DA"/>
      </right>
      <top style="thin">
        <color rgb="00E3E1DA"/>
      </top>
      <bottom/>
      <diagonal/>
    </border>
    <border>
      <left/>
      <right/>
      <top style="thin">
        <color rgb="00E3E1DA"/>
      </top>
      <bottom style="thin">
        <color rgb="00E3E1DA"/>
      </bottom>
      <diagonal/>
    </border>
    <border>
      <left/>
      <right style="thin">
        <color rgb="00E3E1DA"/>
      </right>
      <top style="thin">
        <color rgb="00E3E1DA"/>
      </top>
      <bottom style="thin">
        <color rgb="00E3E1DA"/>
      </bottom>
      <diagonal/>
    </border>
  </borders>
  <cellStyleXfs count="1">
    <xf numFmtId="0" fontId="0" fillId="0" borderId="0"/>
  </cellStyleXfs>
  <cellXfs count="36">
    <xf numFmtId="0" fontId="0" fillId="0" borderId="0" pivotButton="0" quotePrefix="0" xfId="0"/>
    <xf numFmtId="0" fontId="0" fillId="2"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5" fillId="4" borderId="0" applyAlignment="1" pivotButton="0" quotePrefix="0" xfId="0">
      <alignment vertical="center" wrapText="1"/>
    </xf>
    <xf numFmtId="0" fontId="1" fillId="2" borderId="0" pivotButton="0" quotePrefix="0" xfId="0"/>
    <xf numFmtId="0" fontId="6" fillId="2" borderId="0" pivotButton="0" quotePrefix="0" xfId="0"/>
    <xf numFmtId="0" fontId="7" fillId="0" borderId="0" applyAlignment="1" pivotButton="0" quotePrefix="0" xfId="0">
      <alignment vertical="center" wrapText="1"/>
    </xf>
    <xf numFmtId="0" fontId="0" fillId="3" borderId="2" pivotButton="0" quotePrefix="0" xfId="0"/>
    <xf numFmtId="0" fontId="0" fillId="0" borderId="5" pivotButton="0" quotePrefix="0" xfId="0"/>
    <xf numFmtId="0" fontId="0" fillId="0" borderId="6" pivotButton="0" quotePrefix="0" xfId="0"/>
    <xf numFmtId="164" fontId="0" fillId="3" borderId="2" pivotButton="0" quotePrefix="0" xfId="0"/>
    <xf numFmtId="0" fontId="8" fillId="0" borderId="0" applyAlignment="1" pivotButton="0" quotePrefix="0" xfId="0">
      <alignment vertical="center" wrapText="1"/>
    </xf>
    <xf numFmtId="0" fontId="9" fillId="0" borderId="1" pivotButton="0" quotePrefix="0" xfId="0"/>
    <xf numFmtId="0" fontId="0" fillId="0" borderId="1" pivotButton="0" quotePrefix="0" xfId="0"/>
    <xf numFmtId="0" fontId="10" fillId="2" borderId="0" applyAlignment="1" pivotButton="0" quotePrefix="0" xfId="0">
      <alignment vertical="center" wrapText="1"/>
    </xf>
    <xf numFmtId="165" fontId="0" fillId="3" borderId="2" pivotButton="0" quotePrefix="0" xfId="0"/>
    <xf numFmtId="165" fontId="0" fillId="0" borderId="2" pivotButton="0" quotePrefix="0" xfId="0"/>
    <xf numFmtId="164" fontId="0" fillId="0" borderId="2" pivotButton="0" quotePrefix="0" xfId="0"/>
    <xf numFmtId="165" fontId="11" fillId="4" borderId="2" pivotButton="0" quotePrefix="0" xfId="0"/>
    <xf numFmtId="9" fontId="0" fillId="3" borderId="2" pivotButton="0" quotePrefix="0" xfId="0"/>
    <xf numFmtId="0" fontId="12" fillId="0" borderId="0" pivotButton="0" quotePrefix="0" xfId="0"/>
    <xf numFmtId="0" fontId="13" fillId="0" borderId="0" pivotButton="0" quotePrefix="0" xfId="0"/>
    <xf numFmtId="9" fontId="0" fillId="0" borderId="2" pivotButton="0" quotePrefix="0" xfId="0"/>
    <xf numFmtId="166" fontId="0" fillId="0" borderId="2" pivotButton="0" quotePrefix="0" xfId="0"/>
    <xf numFmtId="167" fontId="0" fillId="0" borderId="2" pivotButton="0" quotePrefix="0" xfId="0"/>
    <xf numFmtId="0" fontId="14" fillId="2" borderId="0" pivotButton="0" quotePrefix="0" xfId="0"/>
    <xf numFmtId="0" fontId="10" fillId="2" borderId="0" pivotButton="0" quotePrefix="0" xfId="0"/>
    <xf numFmtId="168" fontId="0" fillId="3" borderId="2" pivotButton="0" quotePrefix="0" xfId="0"/>
    <xf numFmtId="168" fontId="0" fillId="0" borderId="2" pivotButton="0" quotePrefix="0" xfId="0"/>
    <xf numFmtId="168" fontId="11" fillId="4" borderId="2" pivotButton="0" quotePrefix="0" xfId="0"/>
    <xf numFmtId="169" fontId="0" fillId="0" borderId="2" pivotButton="0" quotePrefix="0" xfId="0"/>
    <xf numFmtId="17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Kalkulator</author>
  </authors>
  <commentList>
    <comment ref="E16" authorId="0" shapeId="0">
      <text>
        <t>W przepisie z Biblii nie ma odżywki – zużycie 0 g. Wpisz ilość, jeśli ją dodajesz.</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4" customWidth="1" min="1" max="1"/>
    <col width="100" customWidth="1" min="2" max="2"/>
  </cols>
  <sheetData>
    <row r="1" ht="34" customHeight="1">
      <c r="A1" s="1" t="n"/>
      <c r="B1" s="2" t="inlineStr">
        <is>
          <t>Calculadora de Preço em €</t>
        </is>
      </c>
    </row>
    <row r="2" ht="20" customHeight="1">
      <c r="A2" s="1" t="n"/>
      <c r="B2" s="3" t="inlineStr">
        <is>
          <t>Primeiras Encomendas em 14 Dias™ · quanto te custa mesmo cada barra e por quanto a vender</t>
        </is>
      </c>
    </row>
    <row r="3">
      <c r="B3" s="4" t="inlineStr"/>
    </row>
    <row r="4">
      <c r="B4" s="5" t="inlineStr">
        <is>
          <t>Como funciona – 6 passos</t>
        </is>
      </c>
    </row>
    <row r="5" ht="30" customHeight="1">
      <c r="B5" s="4" t="inlineStr">
        <is>
          <t>1. Vai à folha «Calculadora». Está preenchida com um exemplo: Barras de aveia e mel, do capítulo 4 da Bíblia.</t>
        </is>
      </c>
    </row>
    <row r="6" ht="30" customHeight="1">
      <c r="B6" s="4" t="inlineStr">
        <is>
          <t>2. Os preços do exemplo são PREÇOS DE EXEMPLO de um supermercado em Portugal – põe os teus, dos talões.</t>
        </is>
      </c>
    </row>
    <row r="7" ht="30" customHeight="1">
      <c r="B7" s="4" t="inlineStr">
        <is>
          <t>3. Só preenches os campos AMARELOS: preço da embalagem, tamanho da embalagem, quanto usaste na fornada, número de barras por fornada.</t>
        </is>
      </c>
    </row>
    <row r="8">
      <c r="B8" s="4" t="inlineStr">
        <is>
          <t>4. Junta o custo do saco e do rótulo e os outros custos da fornada (por exemplo papel vegetal).</t>
        </is>
      </c>
    </row>
    <row r="9" ht="30" customHeight="1">
      <c r="B9" s="4" t="inlineStr">
        <is>
          <t>5. Escolhe a margem sobre o custo (por exemplo 120%). A calculadora mostra o custo por barra, o preço arredondado para cima aos 0,10 € e o lucro da fornada.</t>
        </is>
      </c>
    </row>
    <row r="10" ht="30" customHeight="1">
      <c r="B10" s="4" t="inlineStr">
        <is>
          <t>6. Queres outro preço? Escreve-o no campo «O teu preço». A calculadora refaz o lucro com o teu preço.</t>
        </is>
      </c>
    </row>
    <row r="11">
      <c r="B11" s="4" t="inlineStr"/>
    </row>
    <row r="12">
      <c r="B12" s="5" t="inlineStr">
        <is>
          <t>Cores dos campos</t>
        </is>
      </c>
    </row>
    <row r="13">
      <c r="B13" s="6" t="inlineStr">
        <is>
          <t>Campo amarelo = aqui escreves os teus dados.</t>
        </is>
      </c>
    </row>
    <row r="14">
      <c r="B14" s="4" t="inlineStr">
        <is>
          <t>Campo branco = resultado calculado automaticamente. Não escrevas por cima – tem fórmulas.</t>
        </is>
      </c>
    </row>
    <row r="15">
      <c r="B15" s="7" t="inlineStr">
        <is>
          <t>Campo verde-lima = os resultados mais importantes: custo da barra, preço e lucro.</t>
        </is>
      </c>
    </row>
    <row r="16">
      <c r="B16" s="4" t="inlineStr"/>
    </row>
    <row r="17">
      <c r="B17" s="5" t="inlineStr">
        <is>
          <t>Regras importantes</t>
        </is>
      </c>
    </row>
    <row r="18" ht="30" customHeight="1">
      <c r="B18" s="4" t="inlineStr">
        <is>
          <t>• Escreve o tamanho da embalagem e o que usaste na mesma unidade (gramas com gramas, ml com ml, unidades com unidades).</t>
        </is>
      </c>
    </row>
    <row r="19" ht="30" customHeight="1">
      <c r="B19" s="4" t="inlineStr">
        <is>
          <t>• A receita está em chávenas? Na Bíblia, ao lado de cada receita, tens os gramas (por exemplo 2 chávenas de aveia = 180 g).</t>
        </is>
      </c>
    </row>
    <row r="20" ht="30" customHeight="1">
      <c r="B20" s="4" t="inlineStr">
        <is>
          <t>• A receita de exemplo não leva proteína em pó – deixámos a linha com 0 g usados. Se a usares, escreve a quantidade.</t>
        </is>
      </c>
    </row>
    <row r="21" ht="30" customHeight="1">
      <c r="B21" s="4" t="inlineStr">
        <is>
          <t>• As folhas «A minha receita 2» e «A minha receita 3» estão vazias – são para outros sabores. A folha «Comparação» junta os resultados das três.</t>
        </is>
      </c>
    </row>
    <row r="22" ht="30" customHeight="1">
      <c r="B22" s="4" t="inlineStr">
        <is>
          <t>• A parte de baixo da folha «Calculadora» também calcula o preço do pack e a lista de compras quando tens encomendas de mais barras (Dia 12 do plano).</t>
        </is>
      </c>
    </row>
    <row r="23" ht="30" customHeight="1">
      <c r="B23" s="4" t="inlineStr">
        <is>
          <t>• Margem sobre o custo = quanto o preço fica acima do custo. Margem no preço = que parte do preço te fica como lucro. São dois números diferentes – a calculadora mostra os dois.</t>
        </is>
      </c>
    </row>
    <row r="24">
      <c r="B24" s="4" t="inlineStr"/>
    </row>
    <row r="25">
      <c r="B25" s="5" t="inlineStr">
        <is>
          <t>Com honestidade</t>
        </is>
      </c>
    </row>
    <row r="26" ht="30" customHeight="1">
      <c r="B26" s="4" t="inlineStr">
        <is>
          <t>A calculadora calcula custos e lucro com os números que escreves. Não prevê quanto vais vender. Todos os valores do exemplo são exemplos.</t>
        </is>
      </c>
    </row>
    <row r="27">
      <c r="B27" s="4" t="inlineStr">
        <is>
          <t>O passo a passo também está no PDF «Como usar a calculadora».</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46"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Calculadora de Preço em €</t>
        </is>
      </c>
    </row>
    <row r="2">
      <c r="A2" s="9" t="inlineStr">
        <is>
          <t>Exemplo: Barras de aveia e mel (Bíblia, capítulo 4) · PREÇOS DE EXEMPLO, PÕE OS TEUS</t>
        </is>
      </c>
    </row>
    <row r="3"/>
    <row r="4">
      <c r="A4" s="10" t="inlineStr">
        <is>
          <t>Nome da receita</t>
        </is>
      </c>
      <c r="B4" s="11" t="inlineStr">
        <is>
          <t>Barras de aveia e mel</t>
        </is>
      </c>
      <c r="C4" s="12" t="n"/>
      <c r="D4" s="13" t="n"/>
    </row>
    <row r="5">
      <c r="A5" s="10" t="inlineStr">
        <is>
          <t>Número de barras por fornada</t>
        </is>
      </c>
      <c r="B5" s="14" t="n">
        <v>12</v>
      </c>
    </row>
    <row r="6">
      <c r="A6" s="15" t="inlineStr">
        <is>
          <t>Peso de uma barra (g) – para o rótulo</t>
        </is>
      </c>
      <c r="B6" s="14" t="n">
        <v>40</v>
      </c>
    </row>
    <row r="7"/>
    <row r="8">
      <c r="A8" s="16" t="inlineStr">
        <is>
          <t>1. Ingredientes para uma fornada</t>
        </is>
      </c>
      <c r="B8" s="17" t="n"/>
      <c r="C8" s="17" t="n"/>
      <c r="D8" s="17" t="n"/>
      <c r="E8" s="17" t="n"/>
      <c r="F8" s="17" t="n"/>
      <c r="G8" s="17" t="n"/>
    </row>
    <row r="9" ht="32" customHeight="1">
      <c r="A9" s="18" t="inlineStr">
        <is>
          <t>Ingrediente</t>
        </is>
      </c>
      <c r="B9" s="18" t="inlineStr">
        <is>
          <t>Preço da embalagem (€)</t>
        </is>
      </c>
      <c r="C9" s="18" t="inlineStr">
        <is>
          <t>Tamanho da embalagem</t>
        </is>
      </c>
      <c r="D9" s="18" t="inlineStr">
        <is>
          <t>Unidade</t>
        </is>
      </c>
      <c r="E9" s="18" t="inlineStr">
        <is>
          <t>Usado na fornada</t>
        </is>
      </c>
      <c r="F9" s="18" t="inlineStr">
        <is>
          <t>Custo na fornada (€)</t>
        </is>
      </c>
      <c r="G9" s="18" t="inlineStr">
        <is>
          <t>Para as encomendas (ver ponto 5)</t>
        </is>
      </c>
    </row>
    <row r="10">
      <c r="A10" s="11" t="inlineStr">
        <is>
          <t>Flocos de aveia</t>
        </is>
      </c>
      <c r="B10" s="31" t="n">
        <v>1.19</v>
      </c>
      <c r="C10" s="14" t="n">
        <v>500</v>
      </c>
      <c r="D10" s="11" t="inlineStr">
        <is>
          <t>g</t>
        </is>
      </c>
      <c r="E10" s="14" t="n">
        <v>180</v>
      </c>
      <c r="F10" s="32">
        <f>IF(AND(ISNUMBER(B10),ISNUMBER(C10),ISNUMBER(E10),N(C10)&gt;0),B10/C10*E10,0)</f>
        <v/>
      </c>
      <c r="G10" s="21">
        <f>IF(ISNUMBER(E10),E10*$B$54,"")</f>
        <v/>
      </c>
    </row>
    <row r="11">
      <c r="A11" s="11" t="inlineStr">
        <is>
          <t>Mel</t>
        </is>
      </c>
      <c r="B11" s="31" t="n">
        <v>4.99</v>
      </c>
      <c r="C11" s="14" t="n">
        <v>500</v>
      </c>
      <c r="D11" s="11" t="inlineStr">
        <is>
          <t>g</t>
        </is>
      </c>
      <c r="E11" s="14" t="n">
        <v>170</v>
      </c>
      <c r="F11" s="32">
        <f>IF(AND(ISNUMBER(B11),ISNUMBER(C11),ISNUMBER(E11),N(C11)&gt;0),B11/C11*E11,0)</f>
        <v/>
      </c>
      <c r="G11" s="21">
        <f>IF(ISNUMBER(E11),E11*$B$54,"")</f>
        <v/>
      </c>
    </row>
    <row r="12">
      <c r="A12" s="11" t="inlineStr">
        <is>
          <t>Manteiga de amendoim 100%</t>
        </is>
      </c>
      <c r="B12" s="31" t="n">
        <v>3.49</v>
      </c>
      <c r="C12" s="14" t="n">
        <v>350</v>
      </c>
      <c r="D12" s="11" t="inlineStr">
        <is>
          <t>g</t>
        </is>
      </c>
      <c r="E12" s="14" t="n">
        <v>65</v>
      </c>
      <c r="F12" s="32">
        <f>IF(AND(ISNUMBER(B12),ISNUMBER(C12),ISNUMBER(E12),N(C12)&gt;0),B12/C12*E12,0)</f>
        <v/>
      </c>
      <c r="G12" s="21">
        <f>IF(ISNUMBER(E12),E12*$B$54,"")</f>
        <v/>
      </c>
    </row>
    <row r="13">
      <c r="A13" s="11" t="inlineStr">
        <is>
          <t>Nozes (picadas)</t>
        </is>
      </c>
      <c r="B13" s="31" t="n">
        <v>3.29</v>
      </c>
      <c r="C13" s="14" t="n">
        <v>200</v>
      </c>
      <c r="D13" s="11" t="inlineStr">
        <is>
          <t>g</t>
        </is>
      </c>
      <c r="E13" s="14" t="n">
        <v>60</v>
      </c>
      <c r="F13" s="32">
        <f>IF(AND(ISNUMBER(B13),ISNUMBER(C13),ISNUMBER(E13),N(C13)&gt;0),B13/C13*E13,0)</f>
        <v/>
      </c>
      <c r="G13" s="21">
        <f>IF(ISNUMBER(E13),E13*$B$54,"")</f>
        <v/>
      </c>
    </row>
    <row r="14">
      <c r="A14" s="11" t="inlineStr">
        <is>
          <t>Extrato de baunilha</t>
        </is>
      </c>
      <c r="B14" s="31" t="n">
        <v>4.49</v>
      </c>
      <c r="C14" s="14" t="n">
        <v>50</v>
      </c>
      <c r="D14" s="11" t="inlineStr">
        <is>
          <t>ml</t>
        </is>
      </c>
      <c r="E14" s="14" t="n">
        <v>5</v>
      </c>
      <c r="F14" s="32">
        <f>IF(AND(ISNUMBER(B14),ISNUMBER(C14),ISNUMBER(E14),N(C14)&gt;0),B14/C14*E14,0)</f>
        <v/>
      </c>
      <c r="G14" s="21">
        <f>IF(ISNUMBER(E14),E14*$B$54,"")</f>
        <v/>
      </c>
    </row>
    <row r="15">
      <c r="A15" s="11" t="inlineStr">
        <is>
          <t>Sal</t>
        </is>
      </c>
      <c r="B15" s="31" t="n">
        <v>0.45</v>
      </c>
      <c r="C15" s="14" t="n">
        <v>1000</v>
      </c>
      <c r="D15" s="11" t="inlineStr">
        <is>
          <t>g</t>
        </is>
      </c>
      <c r="E15" s="14" t="n">
        <v>1</v>
      </c>
      <c r="F15" s="32">
        <f>IF(AND(ISNUMBER(B15),ISNUMBER(C15),ISNUMBER(E15),N(C15)&gt;0),B15/C15*E15,0)</f>
        <v/>
      </c>
      <c r="G15" s="21">
        <f>IF(ISNUMBER(E15),E15*$B$54,"")</f>
        <v/>
      </c>
    </row>
    <row r="16">
      <c r="A16" s="11" t="inlineStr">
        <is>
          <t>Proteína em pó (se usares)</t>
        </is>
      </c>
      <c r="B16" s="31" t="n">
        <v>24.99</v>
      </c>
      <c r="C16" s="14" t="n">
        <v>700</v>
      </c>
      <c r="D16" s="11" t="inlineStr">
        <is>
          <t>g</t>
        </is>
      </c>
      <c r="E16" s="14" t="n">
        <v>0</v>
      </c>
      <c r="F16" s="32">
        <f>IF(AND(ISNUMBER(B16),ISNUMBER(C16),ISNUMBER(E16),N(C16)&gt;0),B16/C16*E16,0)</f>
        <v/>
      </c>
      <c r="G16" s="21">
        <f>IF(ISNUMBER(E16),E16*$B$54,"")</f>
        <v/>
      </c>
    </row>
    <row r="17">
      <c r="A17" s="11" t="n"/>
      <c r="B17" s="31" t="n"/>
      <c r="C17" s="14" t="n"/>
      <c r="D17" s="11" t="n"/>
      <c r="E17" s="14" t="n"/>
      <c r="F17" s="32">
        <f>IF(AND(ISNUMBER(B17),ISNUMBER(C17),ISNUMBER(E17),N(C17)&gt;0),B17/C17*E17,0)</f>
        <v/>
      </c>
      <c r="G17" s="21">
        <f>IF(ISNUMBER(E17),E17*$B$54,"")</f>
        <v/>
      </c>
    </row>
    <row r="18">
      <c r="A18" s="11" t="n"/>
      <c r="B18" s="31" t="n"/>
      <c r="C18" s="14" t="n"/>
      <c r="D18" s="11" t="n"/>
      <c r="E18" s="14" t="n"/>
      <c r="F18" s="32">
        <f>IF(AND(ISNUMBER(B18),ISNUMBER(C18),ISNUMBER(E18),N(C18)&gt;0),B18/C18*E18,0)</f>
        <v/>
      </c>
      <c r="G18" s="21">
        <f>IF(ISNUMBER(E18),E18*$B$54,"")</f>
        <v/>
      </c>
    </row>
    <row r="19">
      <c r="A19" s="11" t="n"/>
      <c r="B19" s="31" t="n"/>
      <c r="C19" s="14" t="n"/>
      <c r="D19" s="11" t="n"/>
      <c r="E19" s="14" t="n"/>
      <c r="F19" s="32">
        <f>IF(AND(ISNUMBER(B19),ISNUMBER(C19),ISNUMBER(E19),N(C19)&gt;0),B19/C19*E19,0)</f>
        <v/>
      </c>
      <c r="G19" s="21">
        <f>IF(ISNUMBER(E19),E19*$B$54,"")</f>
        <v/>
      </c>
    </row>
    <row r="20">
      <c r="A20" s="11" t="n"/>
      <c r="B20" s="31" t="n"/>
      <c r="C20" s="14" t="n"/>
      <c r="D20" s="11" t="n"/>
      <c r="E20" s="14" t="n"/>
      <c r="F20" s="32">
        <f>IF(AND(ISNUMBER(B20),ISNUMBER(C20),ISNUMBER(E20),N(C20)&gt;0),B20/C20*E20,0)</f>
        <v/>
      </c>
      <c r="G20" s="21">
        <f>IF(ISNUMBER(E20),E20*$B$54,"")</f>
        <v/>
      </c>
    </row>
    <row r="21">
      <c r="A21" s="11" t="n"/>
      <c r="B21" s="31" t="n"/>
      <c r="C21" s="14" t="n"/>
      <c r="D21" s="11" t="n"/>
      <c r="E21" s="14" t="n"/>
      <c r="F21" s="32">
        <f>IF(AND(ISNUMBER(B21),ISNUMBER(C21),ISNUMBER(E21),N(C21)&gt;0),B21/C21*E21,0)</f>
        <v/>
      </c>
      <c r="G21" s="21">
        <f>IF(ISNUMBER(E21),E21*$B$54,"")</f>
        <v/>
      </c>
    </row>
    <row r="22">
      <c r="A22" s="10" t="inlineStr">
        <is>
          <t>Total de ingredientes por fornada</t>
        </is>
      </c>
      <c r="F22" s="33">
        <f>SUM(F10:F21)</f>
        <v/>
      </c>
    </row>
    <row r="23"/>
    <row r="24">
      <c r="A24" s="16" t="inlineStr">
        <is>
          <t>2. Embalagem e rótulo (por barra)</t>
        </is>
      </c>
      <c r="B24" s="17" t="n"/>
      <c r="C24" s="17" t="n"/>
      <c r="D24" s="17" t="n"/>
      <c r="E24" s="17" t="n"/>
      <c r="F24" s="17" t="n"/>
      <c r="G24" s="17" t="n"/>
    </row>
    <row r="25" ht="32" customHeight="1">
      <c r="A25" s="18" t="inlineStr">
        <is>
          <t>Elemento</t>
        </is>
      </c>
      <c r="B25" s="18" t="inlineStr">
        <is>
          <t>Preço do pacote (€)</t>
        </is>
      </c>
      <c r="C25" s="18" t="inlineStr">
        <is>
          <t>Unidades no pacote</t>
        </is>
      </c>
      <c r="D25" s="18" t="inlineStr"/>
      <c r="E25" s="18" t="inlineStr">
        <is>
          <t>Quantas por barra</t>
        </is>
      </c>
      <c r="F25" s="18" t="inlineStr">
        <is>
          <t>Custo por barra (€)</t>
        </is>
      </c>
      <c r="G25" s="18" t="inlineStr"/>
    </row>
    <row r="26">
      <c r="A26" s="11" t="inlineStr">
        <is>
          <t>Saco de celofane</t>
        </is>
      </c>
      <c r="B26" s="31" t="n">
        <v>4.99</v>
      </c>
      <c r="C26" s="14" t="n">
        <v>100</v>
      </c>
      <c r="E26" s="14" t="n">
        <v>1</v>
      </c>
      <c r="F26" s="32">
        <f>IF(AND(ISNUMBER(B26),ISNUMBER(C26),N(C26)&gt;0),B26/C26*N(E26),0)</f>
        <v/>
      </c>
    </row>
    <row r="27">
      <c r="A27" s="11" t="inlineStr">
        <is>
          <t>Rótulo (25 folhas A4 × 8 rótulos)</t>
        </is>
      </c>
      <c r="B27" s="31" t="n">
        <v>9.99</v>
      </c>
      <c r="C27" s="14" t="n">
        <v>200</v>
      </c>
      <c r="E27" s="14" t="n">
        <v>1</v>
      </c>
      <c r="F27" s="32">
        <f>IF(AND(ISNUMBER(B27),ISNUMBER(C27),N(C27)&gt;0),B27/C27*N(E27),0)</f>
        <v/>
      </c>
    </row>
    <row r="28">
      <c r="A28" s="11" t="n"/>
      <c r="B28" s="31" t="n"/>
      <c r="C28" s="14" t="n"/>
      <c r="E28" s="14" t="n"/>
      <c r="F28" s="32">
        <f>IF(AND(ISNUMBER(B28),ISNUMBER(C28),N(C28)&gt;0),B28/C28*N(E28),0)</f>
        <v/>
      </c>
    </row>
    <row r="29">
      <c r="A29" s="10" t="inlineStr">
        <is>
          <t>Embalagem por barra</t>
        </is>
      </c>
      <c r="F29" s="33">
        <f>SUM(F26:F28)</f>
        <v/>
      </c>
    </row>
    <row r="30"/>
    <row r="31">
      <c r="A31" s="10" t="inlineStr">
        <is>
          <t>Outros custos da fornada (€): papel vegetal, eletricidade, deslocação…</t>
        </is>
      </c>
      <c r="B31" s="31" t="n">
        <v>1</v>
      </c>
    </row>
    <row r="32"/>
    <row r="33">
      <c r="A33" s="16" t="inlineStr">
        <is>
          <t>3. Custo e preço</t>
        </is>
      </c>
      <c r="B33" s="17" t="n"/>
      <c r="C33" s="17" t="n"/>
      <c r="D33" s="17" t="n"/>
      <c r="E33" s="17" t="n"/>
      <c r="F33" s="17" t="n"/>
      <c r="G33" s="17" t="n"/>
    </row>
    <row r="34">
      <c r="A34" s="15" t="inlineStr">
        <is>
          <t>Custo dos ingredientes por barra</t>
        </is>
      </c>
      <c r="B34" s="32">
        <f>IF(N(B5)&gt;0,F22/B5,0)</f>
        <v/>
      </c>
    </row>
    <row r="35">
      <c r="A35" s="15" t="inlineStr">
        <is>
          <t>Custo da embalagem por barra</t>
        </is>
      </c>
      <c r="B35" s="32">
        <f>F29</f>
        <v/>
      </c>
    </row>
    <row r="36">
      <c r="A36" s="15" t="inlineStr">
        <is>
          <t>Outros custos por barra</t>
        </is>
      </c>
      <c r="B36" s="32">
        <f>IF(N(B5)&gt;0,N(B31)/B5,0)</f>
        <v/>
      </c>
    </row>
    <row r="37">
      <c r="A37" s="10" t="inlineStr">
        <is>
          <t>CUSTO DE UMA BARRA</t>
        </is>
      </c>
      <c r="B37" s="33">
        <f>B34+B35+B36</f>
        <v/>
      </c>
    </row>
    <row r="38">
      <c r="A38" s="10" t="inlineStr">
        <is>
          <t>A tua margem sobre o custo (%)</t>
        </is>
      </c>
      <c r="B38" s="23" t="n">
        <v>1.2</v>
      </c>
      <c r="C38" s="24" t="inlineStr">
        <is>
          <t>p. ex. 100% = o preço é o dobro do custo</t>
        </is>
      </c>
    </row>
    <row r="39">
      <c r="A39" s="15" t="inlineStr">
        <is>
          <t>Preço calculado (custo + margem)</t>
        </is>
      </c>
      <c r="B39" s="32">
        <f>B37*(1+N(B38))</f>
        <v/>
      </c>
    </row>
    <row r="40">
      <c r="A40" s="10" t="inlineStr">
        <is>
          <t>Preço sugerido (arredondado para cima, 0,10 €)</t>
        </is>
      </c>
      <c r="B40" s="33">
        <f>ROUNDUP(B39*10,0)/10</f>
        <v/>
      </c>
    </row>
    <row r="41">
      <c r="A41" s="15" t="inlineStr">
        <is>
          <t>O teu preço (opcional – deixa vazio para usar o sugerido)</t>
        </is>
      </c>
      <c r="B41" s="31" t="n"/>
    </row>
    <row r="42">
      <c r="A42" s="10" t="inlineStr">
        <is>
          <t>Preço usado nas contas</t>
        </is>
      </c>
      <c r="B42" s="32">
        <f>IF(ISNUMBER(B41),B41,B40)</f>
        <v/>
      </c>
    </row>
    <row r="43"/>
    <row r="44">
      <c r="A44" s="16" t="inlineStr">
        <is>
          <t>4. Lucro</t>
        </is>
      </c>
      <c r="B44" s="17" t="n"/>
      <c r="C44" s="17" t="n"/>
      <c r="D44" s="17" t="n"/>
      <c r="E44" s="17" t="n"/>
      <c r="F44" s="17" t="n"/>
      <c r="G44" s="17" t="n"/>
    </row>
    <row r="45">
      <c r="A45" s="10" t="inlineStr">
        <is>
          <t>Lucro por barra</t>
        </is>
      </c>
      <c r="B45" s="33">
        <f>B42-B37</f>
        <v/>
      </c>
      <c r="C45" s="25">
        <f>IF(B45&lt;0,"ATENÇÃO: preço abaixo do custo!","")</f>
        <v/>
      </c>
    </row>
    <row r="46">
      <c r="A46" s="15" t="inlineStr">
        <is>
          <t>Margem no preço (que parte do preço é lucro)</t>
        </is>
      </c>
      <c r="B46" s="26">
        <f>IF(B42&gt;0,B45/B42,0)</f>
        <v/>
      </c>
    </row>
    <row r="47">
      <c r="A47" s="15" t="inlineStr">
        <is>
          <t>Custo da fornada inteira</t>
        </is>
      </c>
      <c r="B47" s="32">
        <f>B37*N(B5)</f>
        <v/>
      </c>
    </row>
    <row r="48">
      <c r="A48" s="15" t="inlineStr">
        <is>
          <t>Receita da fornada (se venderes todas)</t>
        </is>
      </c>
      <c r="B48" s="32">
        <f>B42*N(B5)</f>
        <v/>
      </c>
    </row>
    <row r="49">
      <c r="A49" s="10" t="inlineStr">
        <is>
          <t>LUCRO DA FORNADA</t>
        </is>
      </c>
      <c r="B49" s="33">
        <f>B48-B47</f>
        <v/>
      </c>
    </row>
    <row r="50">
      <c r="A50" s="15" t="inlineStr">
        <is>
          <t>Barras a vender para cobrir o custo da fornada</t>
        </is>
      </c>
      <c r="B50" s="34">
        <f>IF(B42&gt;0,ROUNDUP(B47/B42,0),0)</f>
        <v/>
      </c>
    </row>
    <row r="51">
      <c r="A51" s="15" t="inlineStr">
        <is>
          <t>O teu tempo de trabalho por fornada (h, sem o frio)</t>
        </is>
      </c>
      <c r="B51" s="14" t="n">
        <v>1</v>
      </c>
    </row>
    <row r="52">
      <c r="A52" s="15" t="inlineStr">
        <is>
          <t>Lucro por hora do teu trabalho</t>
        </is>
      </c>
      <c r="B52" s="32">
        <f>IF(N(B51)&gt;0,B49/B51,0)</f>
        <v/>
      </c>
    </row>
    <row r="53">
      <c r="A53" s="16" t="inlineStr">
        <is>
          <t>5. Encomendas e pack</t>
        </is>
      </c>
      <c r="B53" s="17" t="n"/>
      <c r="C53" s="17" t="n"/>
      <c r="D53" s="17" t="n"/>
      <c r="E53" s="17" t="n"/>
      <c r="F53" s="17" t="n"/>
      <c r="G53" s="17" t="n"/>
    </row>
    <row r="54">
      <c r="A54" s="10" t="inlineStr">
        <is>
          <t>Quantas fornadas fazer? (resultado do campo abaixo)</t>
        </is>
      </c>
      <c r="B54" s="35">
        <f>IF(AND(N(B5)&gt;0,N(B55)&gt;0),ROUNDUP(B55/B5,0),1)</f>
        <v/>
      </c>
      <c r="C54" s="24" t="inlineStr">
        <is>
          <t>A coluna G da tabela de ingredientes mostra quanto precisas de cada ingrediente.</t>
        </is>
      </c>
    </row>
    <row r="55">
      <c r="A55" s="15" t="inlineStr">
        <is>
          <t>Barras nas encomendas (com reserva)</t>
        </is>
      </c>
      <c r="B55" s="14" t="n">
        <v>30</v>
      </c>
    </row>
    <row r="56"/>
    <row r="57">
      <c r="A57" s="15" t="inlineStr">
        <is>
          <t>Número de barras no pack</t>
        </is>
      </c>
      <c r="B57" s="14" t="n">
        <v>5</v>
      </c>
    </row>
    <row r="58">
      <c r="A58" s="15" t="inlineStr">
        <is>
          <t>Desconto no pack (%)</t>
        </is>
      </c>
      <c r="B58" s="23" t="n">
        <v>0.1</v>
      </c>
    </row>
    <row r="59">
      <c r="A59" s="10" t="inlineStr">
        <is>
          <t>Preço do pack (arredondado para cima, 0,10 €)</t>
        </is>
      </c>
      <c r="B59" s="33">
        <f>ROUNDUP(B42*N(B57)*(1-N(B58))*10,0)/10</f>
        <v/>
      </c>
    </row>
    <row r="60">
      <c r="A60" s="15" t="inlineStr">
        <is>
          <t>Lucro no pack</t>
        </is>
      </c>
      <c r="B60" s="32">
        <f>B59-B37*N(B57)</f>
        <v/>
      </c>
      <c r="C60" s="25">
        <f>IF(B60&lt;0,"ATENÇÃO: pack abaixo do custo!","")</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46"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Calculadora de Preço em €</t>
        </is>
      </c>
    </row>
    <row r="2">
      <c r="A2" s="9" t="inlineStr">
        <is>
          <t>A tua receita · preenche os campos amarelos</t>
        </is>
      </c>
    </row>
    <row r="3"/>
    <row r="4">
      <c r="A4" s="10" t="inlineStr">
        <is>
          <t>Nome da receita</t>
        </is>
      </c>
      <c r="B4" s="11" t="n"/>
      <c r="C4" s="12" t="n"/>
      <c r="D4" s="13" t="n"/>
    </row>
    <row r="5">
      <c r="A5" s="10" t="inlineStr">
        <is>
          <t>Número de barras por fornada</t>
        </is>
      </c>
      <c r="B5" s="14" t="n"/>
    </row>
    <row r="6">
      <c r="A6" s="15" t="inlineStr">
        <is>
          <t>Peso de uma barra (g) – para o rótulo</t>
        </is>
      </c>
      <c r="B6" s="14" t="n"/>
    </row>
    <row r="7"/>
    <row r="8">
      <c r="A8" s="16" t="inlineStr">
        <is>
          <t>1. Ingredientes para uma fornada</t>
        </is>
      </c>
      <c r="B8" s="17" t="n"/>
      <c r="C8" s="17" t="n"/>
      <c r="D8" s="17" t="n"/>
      <c r="E8" s="17" t="n"/>
      <c r="F8" s="17" t="n"/>
      <c r="G8" s="17" t="n"/>
    </row>
    <row r="9" ht="32" customHeight="1">
      <c r="A9" s="18" t="inlineStr">
        <is>
          <t>Ingrediente</t>
        </is>
      </c>
      <c r="B9" s="18" t="inlineStr">
        <is>
          <t>Preço da embalagem (€)</t>
        </is>
      </c>
      <c r="C9" s="18" t="inlineStr">
        <is>
          <t>Tamanho da embalagem</t>
        </is>
      </c>
      <c r="D9" s="18" t="inlineStr">
        <is>
          <t>Unidade</t>
        </is>
      </c>
      <c r="E9" s="18" t="inlineStr">
        <is>
          <t>Usado na fornada</t>
        </is>
      </c>
      <c r="F9" s="18" t="inlineStr">
        <is>
          <t>Custo na fornada (€)</t>
        </is>
      </c>
      <c r="G9" s="18" t="inlineStr">
        <is>
          <t>Para as encomendas (ver ponto 5)</t>
        </is>
      </c>
    </row>
    <row r="10">
      <c r="A10" s="11" t="n"/>
      <c r="B10" s="31" t="n"/>
      <c r="C10" s="14" t="n"/>
      <c r="D10" s="11" t="n"/>
      <c r="E10" s="14" t="n"/>
      <c r="F10" s="32">
        <f>IF(AND(ISNUMBER(B10),ISNUMBER(C10),ISNUMBER(E10),N(C10)&gt;0),B10/C10*E10,0)</f>
        <v/>
      </c>
      <c r="G10" s="21">
        <f>IF(ISNUMBER(E10),E10*$B$54,"")</f>
        <v/>
      </c>
    </row>
    <row r="11">
      <c r="A11" s="11" t="n"/>
      <c r="B11" s="31" t="n"/>
      <c r="C11" s="14" t="n"/>
      <c r="D11" s="11" t="n"/>
      <c r="E11" s="14" t="n"/>
      <c r="F11" s="32">
        <f>IF(AND(ISNUMBER(B11),ISNUMBER(C11),ISNUMBER(E11),N(C11)&gt;0),B11/C11*E11,0)</f>
        <v/>
      </c>
      <c r="G11" s="21">
        <f>IF(ISNUMBER(E11),E11*$B$54,"")</f>
        <v/>
      </c>
    </row>
    <row r="12">
      <c r="A12" s="11" t="n"/>
      <c r="B12" s="31" t="n"/>
      <c r="C12" s="14" t="n"/>
      <c r="D12" s="11" t="n"/>
      <c r="E12" s="14" t="n"/>
      <c r="F12" s="32">
        <f>IF(AND(ISNUMBER(B12),ISNUMBER(C12),ISNUMBER(E12),N(C12)&gt;0),B12/C12*E12,0)</f>
        <v/>
      </c>
      <c r="G12" s="21">
        <f>IF(ISNUMBER(E12),E12*$B$54,"")</f>
        <v/>
      </c>
    </row>
    <row r="13">
      <c r="A13" s="11" t="n"/>
      <c r="B13" s="31" t="n"/>
      <c r="C13" s="14" t="n"/>
      <c r="D13" s="11" t="n"/>
      <c r="E13" s="14" t="n"/>
      <c r="F13" s="32">
        <f>IF(AND(ISNUMBER(B13),ISNUMBER(C13),ISNUMBER(E13),N(C13)&gt;0),B13/C13*E13,0)</f>
        <v/>
      </c>
      <c r="G13" s="21">
        <f>IF(ISNUMBER(E13),E13*$B$54,"")</f>
        <v/>
      </c>
    </row>
    <row r="14">
      <c r="A14" s="11" t="n"/>
      <c r="B14" s="31" t="n"/>
      <c r="C14" s="14" t="n"/>
      <c r="D14" s="11" t="n"/>
      <c r="E14" s="14" t="n"/>
      <c r="F14" s="32">
        <f>IF(AND(ISNUMBER(B14),ISNUMBER(C14),ISNUMBER(E14),N(C14)&gt;0),B14/C14*E14,0)</f>
        <v/>
      </c>
      <c r="G14" s="21">
        <f>IF(ISNUMBER(E14),E14*$B$54,"")</f>
        <v/>
      </c>
    </row>
    <row r="15">
      <c r="A15" s="11" t="n"/>
      <c r="B15" s="31" t="n"/>
      <c r="C15" s="14" t="n"/>
      <c r="D15" s="11" t="n"/>
      <c r="E15" s="14" t="n"/>
      <c r="F15" s="32">
        <f>IF(AND(ISNUMBER(B15),ISNUMBER(C15),ISNUMBER(E15),N(C15)&gt;0),B15/C15*E15,0)</f>
        <v/>
      </c>
      <c r="G15" s="21">
        <f>IF(ISNUMBER(E15),E15*$B$54,"")</f>
        <v/>
      </c>
    </row>
    <row r="16">
      <c r="A16" s="11" t="n"/>
      <c r="B16" s="31" t="n"/>
      <c r="C16" s="14" t="n"/>
      <c r="D16" s="11" t="n"/>
      <c r="E16" s="14" t="n"/>
      <c r="F16" s="32">
        <f>IF(AND(ISNUMBER(B16),ISNUMBER(C16),ISNUMBER(E16),N(C16)&gt;0),B16/C16*E16,0)</f>
        <v/>
      </c>
      <c r="G16" s="21">
        <f>IF(ISNUMBER(E16),E16*$B$54,"")</f>
        <v/>
      </c>
    </row>
    <row r="17">
      <c r="A17" s="11" t="n"/>
      <c r="B17" s="31" t="n"/>
      <c r="C17" s="14" t="n"/>
      <c r="D17" s="11" t="n"/>
      <c r="E17" s="14" t="n"/>
      <c r="F17" s="32">
        <f>IF(AND(ISNUMBER(B17),ISNUMBER(C17),ISNUMBER(E17),N(C17)&gt;0),B17/C17*E17,0)</f>
        <v/>
      </c>
      <c r="G17" s="21">
        <f>IF(ISNUMBER(E17),E17*$B$54,"")</f>
        <v/>
      </c>
    </row>
    <row r="18">
      <c r="A18" s="11" t="n"/>
      <c r="B18" s="31" t="n"/>
      <c r="C18" s="14" t="n"/>
      <c r="D18" s="11" t="n"/>
      <c r="E18" s="14" t="n"/>
      <c r="F18" s="32">
        <f>IF(AND(ISNUMBER(B18),ISNUMBER(C18),ISNUMBER(E18),N(C18)&gt;0),B18/C18*E18,0)</f>
        <v/>
      </c>
      <c r="G18" s="21">
        <f>IF(ISNUMBER(E18),E18*$B$54,"")</f>
        <v/>
      </c>
    </row>
    <row r="19">
      <c r="A19" s="11" t="n"/>
      <c r="B19" s="31" t="n"/>
      <c r="C19" s="14" t="n"/>
      <c r="D19" s="11" t="n"/>
      <c r="E19" s="14" t="n"/>
      <c r="F19" s="32">
        <f>IF(AND(ISNUMBER(B19),ISNUMBER(C19),ISNUMBER(E19),N(C19)&gt;0),B19/C19*E19,0)</f>
        <v/>
      </c>
      <c r="G19" s="21">
        <f>IF(ISNUMBER(E19),E19*$B$54,"")</f>
        <v/>
      </c>
    </row>
    <row r="20">
      <c r="A20" s="11" t="n"/>
      <c r="B20" s="31" t="n"/>
      <c r="C20" s="14" t="n"/>
      <c r="D20" s="11" t="n"/>
      <c r="E20" s="14" t="n"/>
      <c r="F20" s="32">
        <f>IF(AND(ISNUMBER(B20),ISNUMBER(C20),ISNUMBER(E20),N(C20)&gt;0),B20/C20*E20,0)</f>
        <v/>
      </c>
      <c r="G20" s="21">
        <f>IF(ISNUMBER(E20),E20*$B$54,"")</f>
        <v/>
      </c>
    </row>
    <row r="21">
      <c r="A21" s="11" t="n"/>
      <c r="B21" s="31" t="n"/>
      <c r="C21" s="14" t="n"/>
      <c r="D21" s="11" t="n"/>
      <c r="E21" s="14" t="n"/>
      <c r="F21" s="32">
        <f>IF(AND(ISNUMBER(B21),ISNUMBER(C21),ISNUMBER(E21),N(C21)&gt;0),B21/C21*E21,0)</f>
        <v/>
      </c>
      <c r="G21" s="21">
        <f>IF(ISNUMBER(E21),E21*$B$54,"")</f>
        <v/>
      </c>
    </row>
    <row r="22">
      <c r="A22" s="10" t="inlineStr">
        <is>
          <t>Total de ingredientes por fornada</t>
        </is>
      </c>
      <c r="F22" s="33">
        <f>SUM(F10:F21)</f>
        <v/>
      </c>
    </row>
    <row r="23"/>
    <row r="24">
      <c r="A24" s="16" t="inlineStr">
        <is>
          <t>2. Embalagem e rótulo (por barra)</t>
        </is>
      </c>
      <c r="B24" s="17" t="n"/>
      <c r="C24" s="17" t="n"/>
      <c r="D24" s="17" t="n"/>
      <c r="E24" s="17" t="n"/>
      <c r="F24" s="17" t="n"/>
      <c r="G24" s="17" t="n"/>
    </row>
    <row r="25" ht="32" customHeight="1">
      <c r="A25" s="18" t="inlineStr">
        <is>
          <t>Elemento</t>
        </is>
      </c>
      <c r="B25" s="18" t="inlineStr">
        <is>
          <t>Preço do pacote (€)</t>
        </is>
      </c>
      <c r="C25" s="18" t="inlineStr">
        <is>
          <t>Unidades no pacote</t>
        </is>
      </c>
      <c r="D25" s="18" t="inlineStr"/>
      <c r="E25" s="18" t="inlineStr">
        <is>
          <t>Quantas por barra</t>
        </is>
      </c>
      <c r="F25" s="18" t="inlineStr">
        <is>
          <t>Custo por barra (€)</t>
        </is>
      </c>
      <c r="G25" s="18" t="inlineStr"/>
    </row>
    <row r="26">
      <c r="A26" s="11" t="n"/>
      <c r="B26" s="31" t="n"/>
      <c r="C26" s="14" t="n"/>
      <c r="E26" s="14" t="n">
        <v>1</v>
      </c>
      <c r="F26" s="32">
        <f>IF(AND(ISNUMBER(B26),ISNUMBER(C26),N(C26)&gt;0),B26/C26*N(E26),0)</f>
        <v/>
      </c>
    </row>
    <row r="27">
      <c r="A27" s="11" t="n"/>
      <c r="B27" s="31" t="n"/>
      <c r="C27" s="14" t="n"/>
      <c r="E27" s="14" t="n">
        <v>1</v>
      </c>
      <c r="F27" s="32">
        <f>IF(AND(ISNUMBER(B27),ISNUMBER(C27),N(C27)&gt;0),B27/C27*N(E27),0)</f>
        <v/>
      </c>
    </row>
    <row r="28">
      <c r="A28" s="11" t="n"/>
      <c r="B28" s="31" t="n"/>
      <c r="C28" s="14" t="n"/>
      <c r="E28" s="14" t="n">
        <v>1</v>
      </c>
      <c r="F28" s="32">
        <f>IF(AND(ISNUMBER(B28),ISNUMBER(C28),N(C28)&gt;0),B28/C28*N(E28),0)</f>
        <v/>
      </c>
    </row>
    <row r="29">
      <c r="A29" s="10" t="inlineStr">
        <is>
          <t>Embalagem por barra</t>
        </is>
      </c>
      <c r="F29" s="33">
        <f>SUM(F26:F28)</f>
        <v/>
      </c>
    </row>
    <row r="30"/>
    <row r="31">
      <c r="A31" s="10" t="inlineStr">
        <is>
          <t>Outros custos da fornada (€): papel vegetal, eletricidade, deslocação…</t>
        </is>
      </c>
      <c r="B31" s="31" t="n"/>
    </row>
    <row r="32"/>
    <row r="33">
      <c r="A33" s="16" t="inlineStr">
        <is>
          <t>3. Custo e preço</t>
        </is>
      </c>
      <c r="B33" s="17" t="n"/>
      <c r="C33" s="17" t="n"/>
      <c r="D33" s="17" t="n"/>
      <c r="E33" s="17" t="n"/>
      <c r="F33" s="17" t="n"/>
      <c r="G33" s="17" t="n"/>
    </row>
    <row r="34">
      <c r="A34" s="15" t="inlineStr">
        <is>
          <t>Custo dos ingredientes por barra</t>
        </is>
      </c>
      <c r="B34" s="32">
        <f>IF(N(B5)&gt;0,F22/B5,0)</f>
        <v/>
      </c>
    </row>
    <row r="35">
      <c r="A35" s="15" t="inlineStr">
        <is>
          <t>Custo da embalagem por barra</t>
        </is>
      </c>
      <c r="B35" s="32">
        <f>F29</f>
        <v/>
      </c>
    </row>
    <row r="36">
      <c r="A36" s="15" t="inlineStr">
        <is>
          <t>Outros custos por barra</t>
        </is>
      </c>
      <c r="B36" s="32">
        <f>IF(N(B5)&gt;0,N(B31)/B5,0)</f>
        <v/>
      </c>
    </row>
    <row r="37">
      <c r="A37" s="10" t="inlineStr">
        <is>
          <t>CUSTO DE UMA BARRA</t>
        </is>
      </c>
      <c r="B37" s="33">
        <f>B34+B35+B36</f>
        <v/>
      </c>
    </row>
    <row r="38">
      <c r="A38" s="10" t="inlineStr">
        <is>
          <t>A tua margem sobre o custo (%)</t>
        </is>
      </c>
      <c r="B38" s="23" t="n">
        <v>1.2</v>
      </c>
      <c r="C38" s="24" t="inlineStr">
        <is>
          <t>p. ex. 100% = o preço é o dobro do custo</t>
        </is>
      </c>
    </row>
    <row r="39">
      <c r="A39" s="15" t="inlineStr">
        <is>
          <t>Preço calculado (custo + margem)</t>
        </is>
      </c>
      <c r="B39" s="32">
        <f>B37*(1+N(B38))</f>
        <v/>
      </c>
    </row>
    <row r="40">
      <c r="A40" s="10" t="inlineStr">
        <is>
          <t>Preço sugerido (arredondado para cima, 0,10 €)</t>
        </is>
      </c>
      <c r="B40" s="33">
        <f>ROUNDUP(B39*10,0)/10</f>
        <v/>
      </c>
    </row>
    <row r="41">
      <c r="A41" s="15" t="inlineStr">
        <is>
          <t>O teu preço (opcional – deixa vazio para usar o sugerido)</t>
        </is>
      </c>
      <c r="B41" s="31" t="n"/>
    </row>
    <row r="42">
      <c r="A42" s="10" t="inlineStr">
        <is>
          <t>Preço usado nas contas</t>
        </is>
      </c>
      <c r="B42" s="32">
        <f>IF(ISNUMBER(B41),B41,B40)</f>
        <v/>
      </c>
    </row>
    <row r="43"/>
    <row r="44">
      <c r="A44" s="16" t="inlineStr">
        <is>
          <t>4. Lucro</t>
        </is>
      </c>
      <c r="B44" s="17" t="n"/>
      <c r="C44" s="17" t="n"/>
      <c r="D44" s="17" t="n"/>
      <c r="E44" s="17" t="n"/>
      <c r="F44" s="17" t="n"/>
      <c r="G44" s="17" t="n"/>
    </row>
    <row r="45">
      <c r="A45" s="10" t="inlineStr">
        <is>
          <t>Lucro por barra</t>
        </is>
      </c>
      <c r="B45" s="33">
        <f>B42-B37</f>
        <v/>
      </c>
      <c r="C45" s="25">
        <f>IF(B45&lt;0,"ATENÇÃO: preço abaixo do custo!","")</f>
        <v/>
      </c>
    </row>
    <row r="46">
      <c r="A46" s="15" t="inlineStr">
        <is>
          <t>Margem no preço (que parte do preço é lucro)</t>
        </is>
      </c>
      <c r="B46" s="26">
        <f>IF(B42&gt;0,B45/B42,0)</f>
        <v/>
      </c>
    </row>
    <row r="47">
      <c r="A47" s="15" t="inlineStr">
        <is>
          <t>Custo da fornada inteira</t>
        </is>
      </c>
      <c r="B47" s="32">
        <f>B37*N(B5)</f>
        <v/>
      </c>
    </row>
    <row r="48">
      <c r="A48" s="15" t="inlineStr">
        <is>
          <t>Receita da fornada (se venderes todas)</t>
        </is>
      </c>
      <c r="B48" s="32">
        <f>B42*N(B5)</f>
        <v/>
      </c>
    </row>
    <row r="49">
      <c r="A49" s="10" t="inlineStr">
        <is>
          <t>LUCRO DA FORNADA</t>
        </is>
      </c>
      <c r="B49" s="33">
        <f>B48-B47</f>
        <v/>
      </c>
    </row>
    <row r="50">
      <c r="A50" s="15" t="inlineStr">
        <is>
          <t>Barras a vender para cobrir o custo da fornada</t>
        </is>
      </c>
      <c r="B50" s="34">
        <f>IF(B42&gt;0,ROUNDUP(B47/B42,0),0)</f>
        <v/>
      </c>
    </row>
    <row r="51">
      <c r="A51" s="15" t="inlineStr">
        <is>
          <t>O teu tempo de trabalho por fornada (h, sem o frio)</t>
        </is>
      </c>
      <c r="B51" s="14" t="n"/>
    </row>
    <row r="52">
      <c r="A52" s="15" t="inlineStr">
        <is>
          <t>Lucro por hora do teu trabalho</t>
        </is>
      </c>
      <c r="B52" s="32">
        <f>IF(N(B51)&gt;0,B49/B51,0)</f>
        <v/>
      </c>
    </row>
    <row r="53">
      <c r="A53" s="16" t="inlineStr">
        <is>
          <t>5. Encomendas e pack</t>
        </is>
      </c>
      <c r="B53" s="17" t="n"/>
      <c r="C53" s="17" t="n"/>
      <c r="D53" s="17" t="n"/>
      <c r="E53" s="17" t="n"/>
      <c r="F53" s="17" t="n"/>
      <c r="G53" s="17" t="n"/>
    </row>
    <row r="54">
      <c r="A54" s="10" t="inlineStr">
        <is>
          <t>Quantas fornadas fazer? (resultado do campo abaixo)</t>
        </is>
      </c>
      <c r="B54" s="35">
        <f>IF(AND(N(B5)&gt;0,N(B55)&gt;0),ROUNDUP(B55/B5,0),1)</f>
        <v/>
      </c>
      <c r="C54" s="24" t="inlineStr">
        <is>
          <t>A coluna G da tabela de ingredientes mostra quanto precisas de cada ingrediente.</t>
        </is>
      </c>
    </row>
    <row r="55">
      <c r="A55" s="15" t="inlineStr">
        <is>
          <t>Barras nas encomendas (com reserva)</t>
        </is>
      </c>
      <c r="B55" s="14" t="n"/>
    </row>
    <row r="56"/>
    <row r="57">
      <c r="A57" s="15" t="inlineStr">
        <is>
          <t>Número de barras no pack</t>
        </is>
      </c>
      <c r="B57" s="14" t="n"/>
    </row>
    <row r="58">
      <c r="A58" s="15" t="inlineStr">
        <is>
          <t>Desconto no pack (%)</t>
        </is>
      </c>
      <c r="B58" s="23" t="n">
        <v>0</v>
      </c>
    </row>
    <row r="59">
      <c r="A59" s="10" t="inlineStr">
        <is>
          <t>Preço do pack (arredondado para cima, 0,10 €)</t>
        </is>
      </c>
      <c r="B59" s="33">
        <f>ROUNDUP(B42*N(B57)*(1-N(B58))*10,0)/10</f>
        <v/>
      </c>
    </row>
    <row r="60">
      <c r="A60" s="15" t="inlineStr">
        <is>
          <t>Lucro no pack</t>
        </is>
      </c>
      <c r="B60" s="32">
        <f>B59-B37*N(B57)</f>
        <v/>
      </c>
      <c r="C60" s="25">
        <f>IF(B60&lt;0,"ATENÇÃO: pack abaixo do custo!","")</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46"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Calculadora de Preço em €</t>
        </is>
      </c>
    </row>
    <row r="2">
      <c r="A2" s="9" t="inlineStr">
        <is>
          <t>A tua receita · preenche os campos amarelos</t>
        </is>
      </c>
    </row>
    <row r="3"/>
    <row r="4">
      <c r="A4" s="10" t="inlineStr">
        <is>
          <t>Nome da receita</t>
        </is>
      </c>
      <c r="B4" s="11" t="n"/>
      <c r="C4" s="12" t="n"/>
      <c r="D4" s="13" t="n"/>
    </row>
    <row r="5">
      <c r="A5" s="10" t="inlineStr">
        <is>
          <t>Número de barras por fornada</t>
        </is>
      </c>
      <c r="B5" s="14" t="n"/>
    </row>
    <row r="6">
      <c r="A6" s="15" t="inlineStr">
        <is>
          <t>Peso de uma barra (g) – para o rótulo</t>
        </is>
      </c>
      <c r="B6" s="14" t="n"/>
    </row>
    <row r="7"/>
    <row r="8">
      <c r="A8" s="16" t="inlineStr">
        <is>
          <t>1. Ingredientes para uma fornada</t>
        </is>
      </c>
      <c r="B8" s="17" t="n"/>
      <c r="C8" s="17" t="n"/>
      <c r="D8" s="17" t="n"/>
      <c r="E8" s="17" t="n"/>
      <c r="F8" s="17" t="n"/>
      <c r="G8" s="17" t="n"/>
    </row>
    <row r="9" ht="32" customHeight="1">
      <c r="A9" s="18" t="inlineStr">
        <is>
          <t>Ingrediente</t>
        </is>
      </c>
      <c r="B9" s="18" t="inlineStr">
        <is>
          <t>Preço da embalagem (€)</t>
        </is>
      </c>
      <c r="C9" s="18" t="inlineStr">
        <is>
          <t>Tamanho da embalagem</t>
        </is>
      </c>
      <c r="D9" s="18" t="inlineStr">
        <is>
          <t>Unidade</t>
        </is>
      </c>
      <c r="E9" s="18" t="inlineStr">
        <is>
          <t>Usado na fornada</t>
        </is>
      </c>
      <c r="F9" s="18" t="inlineStr">
        <is>
          <t>Custo na fornada (€)</t>
        </is>
      </c>
      <c r="G9" s="18" t="inlineStr">
        <is>
          <t>Para as encomendas (ver ponto 5)</t>
        </is>
      </c>
    </row>
    <row r="10">
      <c r="A10" s="11" t="n"/>
      <c r="B10" s="31" t="n"/>
      <c r="C10" s="14" t="n"/>
      <c r="D10" s="11" t="n"/>
      <c r="E10" s="14" t="n"/>
      <c r="F10" s="32">
        <f>IF(AND(ISNUMBER(B10),ISNUMBER(C10),ISNUMBER(E10),N(C10)&gt;0),B10/C10*E10,0)</f>
        <v/>
      </c>
      <c r="G10" s="21">
        <f>IF(ISNUMBER(E10),E10*$B$54,"")</f>
        <v/>
      </c>
    </row>
    <row r="11">
      <c r="A11" s="11" t="n"/>
      <c r="B11" s="31" t="n"/>
      <c r="C11" s="14" t="n"/>
      <c r="D11" s="11" t="n"/>
      <c r="E11" s="14" t="n"/>
      <c r="F11" s="32">
        <f>IF(AND(ISNUMBER(B11),ISNUMBER(C11),ISNUMBER(E11),N(C11)&gt;0),B11/C11*E11,0)</f>
        <v/>
      </c>
      <c r="G11" s="21">
        <f>IF(ISNUMBER(E11),E11*$B$54,"")</f>
        <v/>
      </c>
    </row>
    <row r="12">
      <c r="A12" s="11" t="n"/>
      <c r="B12" s="31" t="n"/>
      <c r="C12" s="14" t="n"/>
      <c r="D12" s="11" t="n"/>
      <c r="E12" s="14" t="n"/>
      <c r="F12" s="32">
        <f>IF(AND(ISNUMBER(B12),ISNUMBER(C12),ISNUMBER(E12),N(C12)&gt;0),B12/C12*E12,0)</f>
        <v/>
      </c>
      <c r="G12" s="21">
        <f>IF(ISNUMBER(E12),E12*$B$54,"")</f>
        <v/>
      </c>
    </row>
    <row r="13">
      <c r="A13" s="11" t="n"/>
      <c r="B13" s="31" t="n"/>
      <c r="C13" s="14" t="n"/>
      <c r="D13" s="11" t="n"/>
      <c r="E13" s="14" t="n"/>
      <c r="F13" s="32">
        <f>IF(AND(ISNUMBER(B13),ISNUMBER(C13),ISNUMBER(E13),N(C13)&gt;0),B13/C13*E13,0)</f>
        <v/>
      </c>
      <c r="G13" s="21">
        <f>IF(ISNUMBER(E13),E13*$B$54,"")</f>
        <v/>
      </c>
    </row>
    <row r="14">
      <c r="A14" s="11" t="n"/>
      <c r="B14" s="31" t="n"/>
      <c r="C14" s="14" t="n"/>
      <c r="D14" s="11" t="n"/>
      <c r="E14" s="14" t="n"/>
      <c r="F14" s="32">
        <f>IF(AND(ISNUMBER(B14),ISNUMBER(C14),ISNUMBER(E14),N(C14)&gt;0),B14/C14*E14,0)</f>
        <v/>
      </c>
      <c r="G14" s="21">
        <f>IF(ISNUMBER(E14),E14*$B$54,"")</f>
        <v/>
      </c>
    </row>
    <row r="15">
      <c r="A15" s="11" t="n"/>
      <c r="B15" s="31" t="n"/>
      <c r="C15" s="14" t="n"/>
      <c r="D15" s="11" t="n"/>
      <c r="E15" s="14" t="n"/>
      <c r="F15" s="32">
        <f>IF(AND(ISNUMBER(B15),ISNUMBER(C15),ISNUMBER(E15),N(C15)&gt;0),B15/C15*E15,0)</f>
        <v/>
      </c>
      <c r="G15" s="21">
        <f>IF(ISNUMBER(E15),E15*$B$54,"")</f>
        <v/>
      </c>
    </row>
    <row r="16">
      <c r="A16" s="11" t="n"/>
      <c r="B16" s="31" t="n"/>
      <c r="C16" s="14" t="n"/>
      <c r="D16" s="11" t="n"/>
      <c r="E16" s="14" t="n"/>
      <c r="F16" s="32">
        <f>IF(AND(ISNUMBER(B16),ISNUMBER(C16),ISNUMBER(E16),N(C16)&gt;0),B16/C16*E16,0)</f>
        <v/>
      </c>
      <c r="G16" s="21">
        <f>IF(ISNUMBER(E16),E16*$B$54,"")</f>
        <v/>
      </c>
    </row>
    <row r="17">
      <c r="A17" s="11" t="n"/>
      <c r="B17" s="31" t="n"/>
      <c r="C17" s="14" t="n"/>
      <c r="D17" s="11" t="n"/>
      <c r="E17" s="14" t="n"/>
      <c r="F17" s="32">
        <f>IF(AND(ISNUMBER(B17),ISNUMBER(C17),ISNUMBER(E17),N(C17)&gt;0),B17/C17*E17,0)</f>
        <v/>
      </c>
      <c r="G17" s="21">
        <f>IF(ISNUMBER(E17),E17*$B$54,"")</f>
        <v/>
      </c>
    </row>
    <row r="18">
      <c r="A18" s="11" t="n"/>
      <c r="B18" s="31" t="n"/>
      <c r="C18" s="14" t="n"/>
      <c r="D18" s="11" t="n"/>
      <c r="E18" s="14" t="n"/>
      <c r="F18" s="32">
        <f>IF(AND(ISNUMBER(B18),ISNUMBER(C18),ISNUMBER(E18),N(C18)&gt;0),B18/C18*E18,0)</f>
        <v/>
      </c>
      <c r="G18" s="21">
        <f>IF(ISNUMBER(E18),E18*$B$54,"")</f>
        <v/>
      </c>
    </row>
    <row r="19">
      <c r="A19" s="11" t="n"/>
      <c r="B19" s="31" t="n"/>
      <c r="C19" s="14" t="n"/>
      <c r="D19" s="11" t="n"/>
      <c r="E19" s="14" t="n"/>
      <c r="F19" s="32">
        <f>IF(AND(ISNUMBER(B19),ISNUMBER(C19),ISNUMBER(E19),N(C19)&gt;0),B19/C19*E19,0)</f>
        <v/>
      </c>
      <c r="G19" s="21">
        <f>IF(ISNUMBER(E19),E19*$B$54,"")</f>
        <v/>
      </c>
    </row>
    <row r="20">
      <c r="A20" s="11" t="n"/>
      <c r="B20" s="31" t="n"/>
      <c r="C20" s="14" t="n"/>
      <c r="D20" s="11" t="n"/>
      <c r="E20" s="14" t="n"/>
      <c r="F20" s="32">
        <f>IF(AND(ISNUMBER(B20),ISNUMBER(C20),ISNUMBER(E20),N(C20)&gt;0),B20/C20*E20,0)</f>
        <v/>
      </c>
      <c r="G20" s="21">
        <f>IF(ISNUMBER(E20),E20*$B$54,"")</f>
        <v/>
      </c>
    </row>
    <row r="21">
      <c r="A21" s="11" t="n"/>
      <c r="B21" s="31" t="n"/>
      <c r="C21" s="14" t="n"/>
      <c r="D21" s="11" t="n"/>
      <c r="E21" s="14" t="n"/>
      <c r="F21" s="32">
        <f>IF(AND(ISNUMBER(B21),ISNUMBER(C21),ISNUMBER(E21),N(C21)&gt;0),B21/C21*E21,0)</f>
        <v/>
      </c>
      <c r="G21" s="21">
        <f>IF(ISNUMBER(E21),E21*$B$54,"")</f>
        <v/>
      </c>
    </row>
    <row r="22">
      <c r="A22" s="10" t="inlineStr">
        <is>
          <t>Total de ingredientes por fornada</t>
        </is>
      </c>
      <c r="F22" s="33">
        <f>SUM(F10:F21)</f>
        <v/>
      </c>
    </row>
    <row r="23"/>
    <row r="24">
      <c r="A24" s="16" t="inlineStr">
        <is>
          <t>2. Embalagem e rótulo (por barra)</t>
        </is>
      </c>
      <c r="B24" s="17" t="n"/>
      <c r="C24" s="17" t="n"/>
      <c r="D24" s="17" t="n"/>
      <c r="E24" s="17" t="n"/>
      <c r="F24" s="17" t="n"/>
      <c r="G24" s="17" t="n"/>
    </row>
    <row r="25" ht="32" customHeight="1">
      <c r="A25" s="18" t="inlineStr">
        <is>
          <t>Elemento</t>
        </is>
      </c>
      <c r="B25" s="18" t="inlineStr">
        <is>
          <t>Preço do pacote (€)</t>
        </is>
      </c>
      <c r="C25" s="18" t="inlineStr">
        <is>
          <t>Unidades no pacote</t>
        </is>
      </c>
      <c r="D25" s="18" t="inlineStr"/>
      <c r="E25" s="18" t="inlineStr">
        <is>
          <t>Quantas por barra</t>
        </is>
      </c>
      <c r="F25" s="18" t="inlineStr">
        <is>
          <t>Custo por barra (€)</t>
        </is>
      </c>
      <c r="G25" s="18" t="inlineStr"/>
    </row>
    <row r="26">
      <c r="A26" s="11" t="n"/>
      <c r="B26" s="31" t="n"/>
      <c r="C26" s="14" t="n"/>
      <c r="E26" s="14" t="n">
        <v>1</v>
      </c>
      <c r="F26" s="32">
        <f>IF(AND(ISNUMBER(B26),ISNUMBER(C26),N(C26)&gt;0),B26/C26*N(E26),0)</f>
        <v/>
      </c>
    </row>
    <row r="27">
      <c r="A27" s="11" t="n"/>
      <c r="B27" s="31" t="n"/>
      <c r="C27" s="14" t="n"/>
      <c r="E27" s="14" t="n">
        <v>1</v>
      </c>
      <c r="F27" s="32">
        <f>IF(AND(ISNUMBER(B27),ISNUMBER(C27),N(C27)&gt;0),B27/C27*N(E27),0)</f>
        <v/>
      </c>
    </row>
    <row r="28">
      <c r="A28" s="11" t="n"/>
      <c r="B28" s="31" t="n"/>
      <c r="C28" s="14" t="n"/>
      <c r="E28" s="14" t="n">
        <v>1</v>
      </c>
      <c r="F28" s="32">
        <f>IF(AND(ISNUMBER(B28),ISNUMBER(C28),N(C28)&gt;0),B28/C28*N(E28),0)</f>
        <v/>
      </c>
    </row>
    <row r="29">
      <c r="A29" s="10" t="inlineStr">
        <is>
          <t>Embalagem por barra</t>
        </is>
      </c>
      <c r="F29" s="33">
        <f>SUM(F26:F28)</f>
        <v/>
      </c>
    </row>
    <row r="30"/>
    <row r="31">
      <c r="A31" s="10" t="inlineStr">
        <is>
          <t>Outros custos da fornada (€): papel vegetal, eletricidade, deslocação…</t>
        </is>
      </c>
      <c r="B31" s="31" t="n"/>
    </row>
    <row r="32"/>
    <row r="33">
      <c r="A33" s="16" t="inlineStr">
        <is>
          <t>3. Custo e preço</t>
        </is>
      </c>
      <c r="B33" s="17" t="n"/>
      <c r="C33" s="17" t="n"/>
      <c r="D33" s="17" t="n"/>
      <c r="E33" s="17" t="n"/>
      <c r="F33" s="17" t="n"/>
      <c r="G33" s="17" t="n"/>
    </row>
    <row r="34">
      <c r="A34" s="15" t="inlineStr">
        <is>
          <t>Custo dos ingredientes por barra</t>
        </is>
      </c>
      <c r="B34" s="32">
        <f>IF(N(B5)&gt;0,F22/B5,0)</f>
        <v/>
      </c>
    </row>
    <row r="35">
      <c r="A35" s="15" t="inlineStr">
        <is>
          <t>Custo da embalagem por barra</t>
        </is>
      </c>
      <c r="B35" s="32">
        <f>F29</f>
        <v/>
      </c>
    </row>
    <row r="36">
      <c r="A36" s="15" t="inlineStr">
        <is>
          <t>Outros custos por barra</t>
        </is>
      </c>
      <c r="B36" s="32">
        <f>IF(N(B5)&gt;0,N(B31)/B5,0)</f>
        <v/>
      </c>
    </row>
    <row r="37">
      <c r="A37" s="10" t="inlineStr">
        <is>
          <t>CUSTO DE UMA BARRA</t>
        </is>
      </c>
      <c r="B37" s="33">
        <f>B34+B35+B36</f>
        <v/>
      </c>
    </row>
    <row r="38">
      <c r="A38" s="10" t="inlineStr">
        <is>
          <t>A tua margem sobre o custo (%)</t>
        </is>
      </c>
      <c r="B38" s="23" t="n">
        <v>1.2</v>
      </c>
      <c r="C38" s="24" t="inlineStr">
        <is>
          <t>p. ex. 100% = o preço é o dobro do custo</t>
        </is>
      </c>
    </row>
    <row r="39">
      <c r="A39" s="15" t="inlineStr">
        <is>
          <t>Preço calculado (custo + margem)</t>
        </is>
      </c>
      <c r="B39" s="32">
        <f>B37*(1+N(B38))</f>
        <v/>
      </c>
    </row>
    <row r="40">
      <c r="A40" s="10" t="inlineStr">
        <is>
          <t>Preço sugerido (arredondado para cima, 0,10 €)</t>
        </is>
      </c>
      <c r="B40" s="33">
        <f>ROUNDUP(B39*10,0)/10</f>
        <v/>
      </c>
    </row>
    <row r="41">
      <c r="A41" s="15" t="inlineStr">
        <is>
          <t>O teu preço (opcional – deixa vazio para usar o sugerido)</t>
        </is>
      </c>
      <c r="B41" s="31" t="n"/>
    </row>
    <row r="42">
      <c r="A42" s="10" t="inlineStr">
        <is>
          <t>Preço usado nas contas</t>
        </is>
      </c>
      <c r="B42" s="32">
        <f>IF(ISNUMBER(B41),B41,B40)</f>
        <v/>
      </c>
    </row>
    <row r="43"/>
    <row r="44">
      <c r="A44" s="16" t="inlineStr">
        <is>
          <t>4. Lucro</t>
        </is>
      </c>
      <c r="B44" s="17" t="n"/>
      <c r="C44" s="17" t="n"/>
      <c r="D44" s="17" t="n"/>
      <c r="E44" s="17" t="n"/>
      <c r="F44" s="17" t="n"/>
      <c r="G44" s="17" t="n"/>
    </row>
    <row r="45">
      <c r="A45" s="10" t="inlineStr">
        <is>
          <t>Lucro por barra</t>
        </is>
      </c>
      <c r="B45" s="33">
        <f>B42-B37</f>
        <v/>
      </c>
      <c r="C45" s="25">
        <f>IF(B45&lt;0,"ATENÇÃO: preço abaixo do custo!","")</f>
        <v/>
      </c>
    </row>
    <row r="46">
      <c r="A46" s="15" t="inlineStr">
        <is>
          <t>Margem no preço (que parte do preço é lucro)</t>
        </is>
      </c>
      <c r="B46" s="26">
        <f>IF(B42&gt;0,B45/B42,0)</f>
        <v/>
      </c>
    </row>
    <row r="47">
      <c r="A47" s="15" t="inlineStr">
        <is>
          <t>Custo da fornada inteira</t>
        </is>
      </c>
      <c r="B47" s="32">
        <f>B37*N(B5)</f>
        <v/>
      </c>
    </row>
    <row r="48">
      <c r="A48" s="15" t="inlineStr">
        <is>
          <t>Receita da fornada (se venderes todas)</t>
        </is>
      </c>
      <c r="B48" s="32">
        <f>B42*N(B5)</f>
        <v/>
      </c>
    </row>
    <row r="49">
      <c r="A49" s="10" t="inlineStr">
        <is>
          <t>LUCRO DA FORNADA</t>
        </is>
      </c>
      <c r="B49" s="33">
        <f>B48-B47</f>
        <v/>
      </c>
    </row>
    <row r="50">
      <c r="A50" s="15" t="inlineStr">
        <is>
          <t>Barras a vender para cobrir o custo da fornada</t>
        </is>
      </c>
      <c r="B50" s="34">
        <f>IF(B42&gt;0,ROUNDUP(B47/B42,0),0)</f>
        <v/>
      </c>
    </row>
    <row r="51">
      <c r="A51" s="15" t="inlineStr">
        <is>
          <t>O teu tempo de trabalho por fornada (h, sem o frio)</t>
        </is>
      </c>
      <c r="B51" s="14" t="n"/>
    </row>
    <row r="52">
      <c r="A52" s="15" t="inlineStr">
        <is>
          <t>Lucro por hora do teu trabalho</t>
        </is>
      </c>
      <c r="B52" s="32">
        <f>IF(N(B51)&gt;0,B49/B51,0)</f>
        <v/>
      </c>
    </row>
    <row r="53">
      <c r="A53" s="16" t="inlineStr">
        <is>
          <t>5. Encomendas e pack</t>
        </is>
      </c>
      <c r="B53" s="17" t="n"/>
      <c r="C53" s="17" t="n"/>
      <c r="D53" s="17" t="n"/>
      <c r="E53" s="17" t="n"/>
      <c r="F53" s="17" t="n"/>
      <c r="G53" s="17" t="n"/>
    </row>
    <row r="54">
      <c r="A54" s="10" t="inlineStr">
        <is>
          <t>Quantas fornadas fazer? (resultado do campo abaixo)</t>
        </is>
      </c>
      <c r="B54" s="35">
        <f>IF(AND(N(B5)&gt;0,N(B55)&gt;0),ROUNDUP(B55/B5,0),1)</f>
        <v/>
      </c>
      <c r="C54" s="24" t="inlineStr">
        <is>
          <t>A coluna G da tabela de ingredientes mostra quanto precisas de cada ingrediente.</t>
        </is>
      </c>
    </row>
    <row r="55">
      <c r="A55" s="15" t="inlineStr">
        <is>
          <t>Barras nas encomendas (com reserva)</t>
        </is>
      </c>
      <c r="B55" s="14" t="n"/>
    </row>
    <row r="56"/>
    <row r="57">
      <c r="A57" s="15" t="inlineStr">
        <is>
          <t>Número de barras no pack</t>
        </is>
      </c>
      <c r="B57" s="14" t="n"/>
    </row>
    <row r="58">
      <c r="A58" s="15" t="inlineStr">
        <is>
          <t>Desconto no pack (%)</t>
        </is>
      </c>
      <c r="B58" s="23" t="n">
        <v>0</v>
      </c>
    </row>
    <row r="59">
      <c r="A59" s="10" t="inlineStr">
        <is>
          <t>Preço do pack (arredondado para cima, 0,10 €)</t>
        </is>
      </c>
      <c r="B59" s="33">
        <f>ROUNDUP(B42*N(B57)*(1-N(B58))*10,0)/10</f>
        <v/>
      </c>
    </row>
    <row r="60">
      <c r="A60" s="15" t="inlineStr">
        <is>
          <t>Lucro no pack</t>
        </is>
      </c>
      <c r="B60" s="32">
        <f>B59-B37*N(B57)</f>
        <v/>
      </c>
      <c r="C60" s="25">
        <f>IF(B60&lt;0,"ATENÇÃO: pack abaixo do custo!","")</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18" customWidth="1" min="1" max="1"/>
    <col width="30" customWidth="1" min="2" max="2"/>
    <col width="16" customWidth="1" min="3" max="3"/>
    <col width="18" customWidth="1" min="4" max="4"/>
    <col width="18" customWidth="1" min="5" max="5"/>
    <col width="16" customWidth="1" min="6" max="6"/>
  </cols>
  <sheetData>
    <row r="1" ht="30" customHeight="1">
      <c r="A1" s="29" t="inlineStr">
        <is>
          <t>Comparação de receitas</t>
        </is>
      </c>
    </row>
    <row r="2"/>
    <row r="3">
      <c r="A3" s="30" t="inlineStr">
        <is>
          <t>Folha</t>
        </is>
      </c>
      <c r="B3" s="30" t="inlineStr">
        <is>
          <t>Receita</t>
        </is>
      </c>
      <c r="C3" s="30" t="inlineStr">
        <is>
          <t>Custo da barra</t>
        </is>
      </c>
      <c r="D3" s="30" t="inlineStr">
        <is>
          <t>Preço usado nas contas</t>
        </is>
      </c>
      <c r="E3" s="30" t="inlineStr">
        <is>
          <t>Lucro por barra</t>
        </is>
      </c>
      <c r="F3" s="30" t="inlineStr">
        <is>
          <t>Lucro da fornada</t>
        </is>
      </c>
    </row>
    <row r="4">
      <c r="A4" t="inlineStr">
        <is>
          <t>Calculadora</t>
        </is>
      </c>
      <c r="B4">
        <f>IF('Calculadora'!B4="","(vazia)",'Calculadora'!B4)</f>
        <v/>
      </c>
      <c r="C4" s="32">
        <f>'Calculadora'!B37</f>
        <v/>
      </c>
      <c r="D4" s="32">
        <f>'Calculadora'!B42</f>
        <v/>
      </c>
      <c r="E4" s="32">
        <f>'Calculadora'!B45</f>
        <v/>
      </c>
      <c r="F4" s="32">
        <f>'Calculadora'!B49</f>
        <v/>
      </c>
    </row>
    <row r="5">
      <c r="A5" t="inlineStr">
        <is>
          <t>A minha receita 2</t>
        </is>
      </c>
      <c r="B5">
        <f>IF('A minha receita 2'!B4="","(vazia)",'A minha receita 2'!B4)</f>
        <v/>
      </c>
      <c r="C5" s="32">
        <f>'A minha receita 2'!B37</f>
        <v/>
      </c>
      <c r="D5" s="32">
        <f>'A minha receita 2'!B42</f>
        <v/>
      </c>
      <c r="E5" s="32">
        <f>'A minha receita 2'!B45</f>
        <v/>
      </c>
      <c r="F5" s="32">
        <f>'A minha receita 2'!B49</f>
        <v/>
      </c>
    </row>
    <row r="6">
      <c r="A6" t="inlineStr">
        <is>
          <t>A minha receita 3</t>
        </is>
      </c>
      <c r="B6">
        <f>IF('A minha receita 3'!B4="","(vazia)",'A minha receita 3'!B4)</f>
        <v/>
      </c>
      <c r="C6" s="32">
        <f>'A minha receita 3'!B37</f>
        <v/>
      </c>
      <c r="D6" s="32">
        <f>'A minha receita 3'!B42</f>
        <v/>
      </c>
      <c r="E6" s="32">
        <f>'A minha receita 3'!B45</f>
        <v/>
      </c>
      <c r="F6" s="32">
        <f>'A minha receita 3'!B49</f>
        <v/>
      </c>
    </row>
    <row r="7"/>
    <row r="8">
      <c r="A8" s="24" t="inlineStr">
        <is>
          <t>Folha só de leitura – os dados mudam-se nas folhas das receitas.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2026-10-09T14:05:17Z</dcterms:created>
  <dcterms:modified xmlns:dcterms="http://purl.org/dc/terms/" xmlns:xsi="http://www.w3.org/2001/XMLSchema-instance" xsi:type="dcterms:W3CDTF">2026-10-09T16:02:54Z</dcterms:modified>
</cp:coreProperties>
</file>